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어보기" sheetId="1" state="visible" r:id="rId1"/>
    <sheet xmlns:r="http://schemas.openxmlformats.org/officeDocument/2006/relationships" name="채점표" sheetId="2" state="visible" r:id="rId2"/>
    <sheet xmlns:r="http://schemas.openxmlformats.org/officeDocument/2006/relationships" name="01 80점 이상 인원수" sheetId="3" state="visible" r:id="rId3"/>
    <sheet xmlns:r="http://schemas.openxmlformats.org/officeDocument/2006/relationships" name="02 합격자 수" sheetId="4" state="visible" r:id="rId4"/>
    <sheet xmlns:r="http://schemas.openxmlformats.org/officeDocument/2006/relationships" name="03 성이 김씨인 사람 수" sheetId="5" state="visible" r:id="rId5"/>
    <sheet xmlns:r="http://schemas.openxmlformats.org/officeDocument/2006/relationships" name="04 부서별 매출 합계" sheetId="6" state="visible" r:id="rId6"/>
    <sheet xmlns:r="http://schemas.openxmlformats.org/officeDocument/2006/relationships" name="05 100 이상 판매량 합계" sheetId="7" state="visible" r:id="rId7"/>
    <sheet xmlns:r="http://schemas.openxmlformats.org/officeDocument/2006/relationships" name="06 평균 이상 인원수" sheetId="8" state="visible" r:id="rId8"/>
    <sheet xmlns:r="http://schemas.openxmlformats.org/officeDocument/2006/relationships" name="07 특정 반의 인원수" sheetId="9" state="visible" r:id="rId9"/>
    <sheet xmlns:r="http://schemas.openxmlformats.org/officeDocument/2006/relationships" name="08 조건에 맞는 것만 더하기" sheetId="10" state="visible" r:id="rId10"/>
    <sheet xmlns:r="http://schemas.openxmlformats.org/officeDocument/2006/relationships" name="09 조건에 맞는 것의 평균" sheetId="11" state="visible" r:id="rId11"/>
    <sheet xmlns:r="http://schemas.openxmlformats.org/officeDocument/2006/relationships" name="10 라인별 생산량 합계 표" sheetId="12" state="visible" r:id="rId12"/>
    <sheet xmlns:r="http://schemas.openxmlformats.org/officeDocument/2006/relationships" name="정답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sz val="11"/>
    </font>
    <font>
      <b val="1"/>
      <color rgb="002E5C8A"/>
      <sz val="12"/>
    </font>
    <font>
      <color rgb="00806000"/>
      <sz val="10"/>
    </font>
    <font>
      <b val="1"/>
      <color rgb="00FFFFFF"/>
    </font>
    <font>
      <i val="1"/>
      <color rgb="00A6A6A6"/>
    </font>
    <font>
      <b val="1"/>
      <color rgb="001F3864"/>
      <sz val="13"/>
    </font>
    <font>
      <b val="1"/>
      <color rgb="00C55A11"/>
      <sz val="10.5"/>
    </font>
    <font>
      <b val="1"/>
      <sz val="12"/>
    </font>
    <font>
      <color rgb="007F7F7F"/>
      <sz val="10"/>
    </font>
    <font>
      <color rgb="007F7F7F"/>
      <sz val="9.5"/>
    </font>
    <font>
      <b val="1"/>
      <color rgb="001F3864"/>
      <sz val="14"/>
    </font>
    <font>
      <b val="1"/>
      <color rgb="00FFFFFF"/>
      <sz val="11"/>
    </font>
    <font>
      <b val="1"/>
    </font>
    <font>
      <name val="Consolas"/>
      <b val="1"/>
      <color rgb="001F4E79"/>
      <sz val="10"/>
    </font>
  </fonts>
  <fills count="7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2E5C8A"/>
      </patternFill>
    </fill>
    <fill>
      <patternFill patternType="solid">
        <fgColor rgb="00FFF2CC"/>
      </patternFill>
    </fill>
    <fill>
      <patternFill patternType="solid">
        <fgColor rgb="00EEF3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7" fillId="0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0" fontId="15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2">
    <dxf>
      <font>
        <b val="1"/>
        <color rgb="00006100"/>
      </font>
      <fill>
        <patternFill patternType="solid">
          <bgColor rgb="00C6EFCE"/>
        </patternFill>
      </fill>
    </dxf>
    <dxf>
      <font>
        <b val="1"/>
        <color rgb="009C0006"/>
      </font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 ht="30" customHeight="1">
      <c r="B2" s="1" t="inlineStr">
        <is>
          <t>컴활 2급 실기 · 함수 연습 — 조건부집계 (10문제)</t>
        </is>
      </c>
    </row>
    <row r="3" ht="19" customHeight="1">
      <c r="B3" s="2" t="inlineStr">
        <is>
          <t>웹 「함수 연습소」의 [조건부 집계] 범위와 똑같은 문제입니다. 번호도, 표도, 칸 주소도 같습니다.</t>
        </is>
      </c>
    </row>
    <row r="4" ht="19" customHeight="1">
      <c r="B4" s="2" t="inlineStr">
        <is>
          <t>웹에서는 한 문제씩, 여기서는 진짜 엑셀로 한꺼번에 풀어 봅니다.</t>
        </is>
      </c>
    </row>
    <row r="5" ht="24" customHeight="1">
      <c r="B5" s="3" t="inlineStr">
        <is>
          <t>푸는 법</t>
        </is>
      </c>
    </row>
    <row r="6" ht="19" customHeight="1">
      <c r="B6" s="2" t="inlineStr">
        <is>
          <t>① 아래 시트 탭(01, 02 …)이 문제 하나씩입니다. 오른쪽에 문제가 적혀 있습니다.</t>
        </is>
      </c>
    </row>
    <row r="7" ht="19" customHeight="1">
      <c r="B7" s="2" t="inlineStr">
        <is>
          <t>② 노란 칸의 0 을 지우고 = 로 시작하는 수식을 넣습니다.</t>
        </is>
      </c>
    </row>
    <row r="8" ht="19" customHeight="1">
      <c r="B8" s="2" t="inlineStr">
        <is>
          <t>③ 노란 칸이 여러 줄이면 — 첫 칸에만 수식을 넣고, 채우기 핸들(칸 오른쪽 아래 ■)을 마지막 노란 칸까지 끌어내립니다.</t>
        </is>
      </c>
    </row>
    <row r="9" ht="19" customHeight="1">
      <c r="B9" s="2" t="inlineStr">
        <is>
          <t>④ 오른쪽 [채점] 칸이 ✔ 맞음 / ✘ 다시 로 스스로 바뀝니다. 수식이 달라도 결과가 같으면 맞음입니다.</t>
        </is>
      </c>
    </row>
    <row r="10" ht="19" customHeight="1">
      <c r="B10" s="2" t="inlineStr">
        <is>
          <t>⑤ [채점표] 시트에서 전체 진행 상황을, 맨 끝 [정답] 시트에서 모범답안을 볼 수 있습니다.</t>
        </is>
      </c>
    </row>
    <row r="11" ht="34" customHeight="1">
      <c r="B11" s="4" t="inlineStr">
        <is>
          <t>사람마다 결과가 달라야 정상입니다. 첫 칸은 맞았는데 아래 칸이 틀린다면, 끌어내리면서 범위나 기준 칸도 같이 내려간 것입니다 — 움직이면 안 되는 주소에 F4 로 $ 를 붙이세요.</t>
        </is>
      </c>
    </row>
    <row r="12" ht="34" customHeight="1">
      <c r="B12" s="4" t="inlineStr">
        <is>
          <t>값이 안 바뀌어 보이면 Ctrl + Alt + F9 (전체 다시 계산). 숫자를 손으로 적으면 맞음이 나오지 않습니다.</t>
        </is>
      </c>
    </row>
  </sheetData>
  <printOptions horizontalCentered="1"/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6" customWidth="1" min="3" max="3"/>
    <col width="18" customWidth="1" min="4" max="4"/>
  </cols>
  <sheetData>
    <row r="1" ht="26" customHeight="1">
      <c r="A1" s="5" t="inlineStr">
        <is>
          <t>채점표 — 조건부집계 10문제</t>
        </is>
      </c>
    </row>
    <row r="3" ht="24" customHeight="1">
      <c r="A3" s="6" t="inlineStr">
        <is>
          <t>번호</t>
        </is>
      </c>
      <c r="B3" s="6" t="inlineStr">
        <is>
          <t>문제</t>
        </is>
      </c>
      <c r="C3" s="6" t="inlineStr">
        <is>
          <t>넣을 칸</t>
        </is>
      </c>
      <c r="D3" s="6" t="inlineStr">
        <is>
          <t>채점</t>
        </is>
      </c>
    </row>
    <row r="4">
      <c r="A4" s="7" t="n">
        <v>1</v>
      </c>
      <c r="B4" s="8" t="inlineStr">
        <is>
          <t>80점 이상 인원수</t>
        </is>
      </c>
      <c r="C4" s="7" t="inlineStr">
        <is>
          <t>B7</t>
        </is>
      </c>
      <c r="D4" s="9">
        <f>'01 80점 이상 인원수'!I6</f>
        <v/>
      </c>
    </row>
    <row r="5">
      <c r="A5" s="7" t="n">
        <v>2</v>
      </c>
      <c r="B5" s="8" t="inlineStr">
        <is>
          <t>합격자 수</t>
        </is>
      </c>
      <c r="C5" s="7" t="inlineStr">
        <is>
          <t>B6</t>
        </is>
      </c>
      <c r="D5" s="9">
        <f>'02 합격자 수'!I6</f>
        <v/>
      </c>
    </row>
    <row r="6">
      <c r="A6" s="7" t="n">
        <v>3</v>
      </c>
      <c r="B6" s="8" t="inlineStr">
        <is>
          <t>성이 김씨인 사람 수</t>
        </is>
      </c>
      <c r="C6" s="7" t="inlineStr">
        <is>
          <t>B6</t>
        </is>
      </c>
      <c r="D6" s="9">
        <f>'03 성이 김씨인 사람 수'!I6</f>
        <v/>
      </c>
    </row>
    <row r="7">
      <c r="A7" s="7" t="n">
        <v>4</v>
      </c>
      <c r="B7" s="8" t="inlineStr">
        <is>
          <t>부서별 매출 합계</t>
        </is>
      </c>
      <c r="C7" s="7" t="inlineStr">
        <is>
          <t>C6</t>
        </is>
      </c>
      <c r="D7" s="9">
        <f>'04 부서별 매출 합계'!I6</f>
        <v/>
      </c>
    </row>
    <row r="8">
      <c r="A8" s="7" t="n">
        <v>5</v>
      </c>
      <c r="B8" s="8" t="inlineStr">
        <is>
          <t>100 이상 판매량 합계</t>
        </is>
      </c>
      <c r="C8" s="7" t="inlineStr">
        <is>
          <t>B6</t>
        </is>
      </c>
      <c r="D8" s="9">
        <f>'05 100 이상 판매량 합계'!I6</f>
        <v/>
      </c>
    </row>
    <row r="9">
      <c r="A9" s="7" t="n">
        <v>6</v>
      </c>
      <c r="B9" s="8" t="inlineStr">
        <is>
          <t>평균 이상 인원수</t>
        </is>
      </c>
      <c r="C9" s="7" t="inlineStr">
        <is>
          <t>B6</t>
        </is>
      </c>
      <c r="D9" s="9">
        <f>'06 평균 이상 인원수'!I6</f>
        <v/>
      </c>
    </row>
    <row r="10">
      <c r="A10" s="7" t="n">
        <v>7</v>
      </c>
      <c r="B10" s="8" t="inlineStr">
        <is>
          <t>특정 반의 인원수</t>
        </is>
      </c>
      <c r="C10" s="7" t="inlineStr">
        <is>
          <t>C6</t>
        </is>
      </c>
      <c r="D10" s="9">
        <f>'07 특정 반의 인원수'!I6</f>
        <v/>
      </c>
    </row>
    <row r="11">
      <c r="A11" s="7" t="n">
        <v>8</v>
      </c>
      <c r="B11" s="8" t="inlineStr">
        <is>
          <t>조건에 맞는 것만 더하기</t>
        </is>
      </c>
      <c r="C11" s="7" t="inlineStr">
        <is>
          <t>C6</t>
        </is>
      </c>
      <c r="D11" s="9">
        <f>'08 조건에 맞는 것만 더하기'!I6</f>
        <v/>
      </c>
    </row>
    <row r="12">
      <c r="A12" s="7" t="n">
        <v>9</v>
      </c>
      <c r="B12" s="8" t="inlineStr">
        <is>
          <t>조건에 맞는 것의 평균</t>
        </is>
      </c>
      <c r="C12" s="7" t="inlineStr">
        <is>
          <t>C6</t>
        </is>
      </c>
      <c r="D12" s="9">
        <f>'09 조건에 맞는 것의 평균'!I6</f>
        <v/>
      </c>
    </row>
    <row r="13">
      <c r="A13" s="7" t="n">
        <v>10</v>
      </c>
      <c r="B13" s="8" t="inlineStr">
        <is>
          <t>라인별 생산량 합계 표</t>
        </is>
      </c>
      <c r="C13" s="7" t="inlineStr">
        <is>
          <t>F2 → F4</t>
        </is>
      </c>
      <c r="D13" s="9">
        <f>'10 라인별 생산량 합계 표'!I7</f>
        <v/>
      </c>
    </row>
    <row r="15">
      <c r="B15" s="10" t="inlineStr">
        <is>
          <t>맞은 문제</t>
        </is>
      </c>
      <c r="D15" s="11">
        <f>COUNTIF(D4:D13,"*맞음*")&amp;" / 10"</f>
        <v/>
      </c>
    </row>
  </sheetData>
  <mergeCells count="1">
    <mergeCell ref="A1:D1"/>
  </mergeCells>
  <conditionalFormatting sqref="D4:D13">
    <cfRule type="expression" priority="1" dxfId="0">
      <formula>ISNUMBER(SEARCH("맞",D4))</formula>
    </cfRule>
    <cfRule type="expression" priority="2" dxfId="1">
      <formula>ISNUMBER(SEARCH("다시",D4))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1번 · 80점 이상 인원수</t>
        </is>
      </c>
    </row>
    <row r="2" ht="22" customHeight="1">
      <c r="A2" s="7" t="inlineStr">
        <is>
          <t>A</t>
        </is>
      </c>
      <c r="B2" s="7" t="n">
        <v>90</v>
      </c>
      <c r="H2" s="14" t="inlineStr">
        <is>
          <t>점수[B2:B6]가 80 이상인 사람의 수를 [B7]에 구하시오.</t>
        </is>
      </c>
    </row>
    <row r="3" ht="22" customHeight="1">
      <c r="A3" s="7" t="inlineStr">
        <is>
          <t>B</t>
        </is>
      </c>
      <c r="B3" s="7" t="n">
        <v>70</v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60</v>
      </c>
      <c r="H5" s="15" t="inlineStr">
        <is>
          <t>B7 의 0 을 지우고 수식을 넣습니다.</t>
        </is>
      </c>
    </row>
    <row r="6" ht="24" customHeight="1">
      <c r="A6" s="7" t="inlineStr">
        <is>
          <t>E</t>
        </is>
      </c>
      <c r="B6" s="7" t="n">
        <v>95</v>
      </c>
      <c r="H6" s="12" t="inlineStr">
        <is>
          <t>채점</t>
        </is>
      </c>
      <c r="I6" s="16">
        <f>IF(NOT(_xlfn.ISFORMULA(B7)),"↖ 0 지우고 수식",IF(COUNTIF(AB7:AB7,TRUE)=1,"✔ 맞음","✘ 다시"))</f>
        <v/>
      </c>
      <c r="J6" s="17" t="n"/>
      <c r="K6" s="17" t="n"/>
    </row>
    <row r="7">
      <c r="A7" s="7" t="inlineStr">
        <is>
          <t>80이상 인원</t>
        </is>
      </c>
      <c r="B7" s="18" t="n">
        <v>0</v>
      </c>
      <c r="AA7">
        <f>COUNTIF(B2:B6,"&gt;=80")</f>
        <v/>
      </c>
      <c r="AB7">
        <f>AND(_xlfn.ISFORMULA(B7),IFERROR(ROUND(B7,4)=ROUND(AA7,4),EXACT(B7,AA7)))</f>
        <v/>
      </c>
    </row>
    <row r="8" ht="18" customHeight="1">
      <c r="H8" s="19" t="inlineStr">
        <is>
          <t>💡 막히면: COUNTIF(범위, "&gt;=80"). 조건은 "따옴표" 안에 씁니다.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결과</t>
        </is>
      </c>
      <c r="H1" s="13" t="inlineStr">
        <is>
          <t>2번 · 합격자 수</t>
        </is>
      </c>
    </row>
    <row r="2" ht="22" customHeight="1">
      <c r="A2" s="7" t="inlineStr">
        <is>
          <t>A</t>
        </is>
      </c>
      <c r="B2" s="7" t="inlineStr">
        <is>
          <t>합격</t>
        </is>
      </c>
      <c r="H2" s="14" t="inlineStr">
        <is>
          <t>결과[B2:B5]가 "합격"인 사람의 수를 [B6]에 구하시오.</t>
        </is>
      </c>
    </row>
    <row r="3" ht="22" customHeight="1">
      <c r="A3" s="7" t="inlineStr">
        <is>
          <t>B</t>
        </is>
      </c>
      <c r="B3" s="7" t="inlineStr">
        <is>
          <t>불합격</t>
        </is>
      </c>
    </row>
    <row r="4" ht="22" customHeight="1">
      <c r="A4" s="7" t="inlineStr">
        <is>
          <t>C</t>
        </is>
      </c>
      <c r="B4" s="7" t="inlineStr">
        <is>
          <t>합격</t>
        </is>
      </c>
    </row>
    <row r="5" ht="20" customHeight="1">
      <c r="A5" s="7" t="inlineStr">
        <is>
          <t>D</t>
        </is>
      </c>
      <c r="B5" s="7" t="inlineStr">
        <is>
          <t>합격</t>
        </is>
      </c>
      <c r="H5" s="15" t="inlineStr">
        <is>
          <t>B6 의 0 을 지우고 수식을 넣습니다.</t>
        </is>
      </c>
    </row>
    <row r="6" ht="24" customHeight="1">
      <c r="A6" s="7" t="inlineStr">
        <is>
          <t>합격자 수</t>
        </is>
      </c>
      <c r="B6" s="18" t="n">
        <v>0</v>
      </c>
      <c r="H6" s="12" t="inlineStr">
        <is>
          <t>채점</t>
        </is>
      </c>
      <c r="I6" s="16">
        <f>IF(NOT(_xlfn.ISFORMULA(B6)),"↖ 0 지우고 수식",IF(COUNTIF(AB6:AB6,TRUE)=1,"✔ 맞음","✘ 다시"))</f>
        <v/>
      </c>
      <c r="J6" s="17" t="n"/>
      <c r="K6" s="17" t="n"/>
      <c r="AA6">
        <f>COUNTIF(B2:B5,"합격")</f>
        <v/>
      </c>
      <c r="AB6">
        <f>AND(_xlfn.ISFORMULA(B6),IFERROR(ROUND(B6,4)=ROUND(AA6,4),EXACT(B6,AA6)))</f>
        <v/>
      </c>
    </row>
    <row r="8" ht="18" customHeight="1">
      <c r="H8" s="19" t="inlineStr">
        <is>
          <t>💡 막히면: COUNTIF(범위, "합격")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3번 · 성이 김씨인 사람 수</t>
        </is>
      </c>
    </row>
    <row r="2" ht="22" customHeight="1">
      <c r="A2" s="7" t="inlineStr">
        <is>
          <t>김하늘</t>
        </is>
      </c>
      <c r="B2" s="7" t="n">
        <v>90</v>
      </c>
      <c r="H2" s="14" t="inlineStr">
        <is>
          <t>이름[A2:A5]이 "김"으로 시작하는 사람의 수를 [B6]에 구하시오. (만능문자 * 사용)</t>
        </is>
      </c>
    </row>
    <row r="3" ht="22" customHeight="1">
      <c r="A3" s="7" t="inlineStr">
        <is>
          <t>이바다</t>
        </is>
      </c>
      <c r="B3" s="7" t="n">
        <v>70</v>
      </c>
    </row>
    <row r="4" ht="22" customHeight="1">
      <c r="A4" s="7" t="inlineStr">
        <is>
          <t>김구름</t>
        </is>
      </c>
      <c r="B4" s="7" t="n">
        <v>85</v>
      </c>
    </row>
    <row r="5" ht="20" customHeight="1">
      <c r="A5" s="7" t="inlineStr">
        <is>
          <t>박별</t>
        </is>
      </c>
      <c r="B5" s="7" t="n">
        <v>60</v>
      </c>
      <c r="H5" s="15" t="inlineStr">
        <is>
          <t>B6 의 0 을 지우고 수식을 넣습니다.</t>
        </is>
      </c>
    </row>
    <row r="6" ht="24" customHeight="1">
      <c r="A6" s="7" t="inlineStr">
        <is>
          <t>김씨 인원</t>
        </is>
      </c>
      <c r="B6" s="18" t="n">
        <v>0</v>
      </c>
      <c r="H6" s="12" t="inlineStr">
        <is>
          <t>채점</t>
        </is>
      </c>
      <c r="I6" s="16">
        <f>IF(NOT(_xlfn.ISFORMULA(B6)),"↖ 0 지우고 수식",IF(COUNTIF(AB6:AB6,TRUE)=1,"✔ 맞음","✘ 다시"))</f>
        <v/>
      </c>
      <c r="J6" s="17" t="n"/>
      <c r="K6" s="17" t="n"/>
      <c r="AA6">
        <f>COUNTIF(A2:A5,"김*")</f>
        <v/>
      </c>
      <c r="AB6">
        <f>AND(_xlfn.ISFORMULA(B6),IFERROR(ROUND(B6,4)=ROUND(AA6,4),EXACT(B6,AA6)))</f>
        <v/>
      </c>
    </row>
    <row r="8" ht="18" customHeight="1">
      <c r="H8" s="19" t="inlineStr">
        <is>
          <t>💡 막히면: "김*" 은 김으로 시작하는 모든 문자열을 뜻합니다.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사원</t>
        </is>
      </c>
      <c r="B1" s="12" t="inlineStr">
        <is>
          <t>부서</t>
        </is>
      </c>
      <c r="C1" s="12" t="inlineStr">
        <is>
          <t>매출</t>
        </is>
      </c>
      <c r="H1" s="13" t="inlineStr">
        <is>
          <t>4번 · 부서별 매출 합계</t>
        </is>
      </c>
    </row>
    <row r="2" ht="22" customHeight="1">
      <c r="A2" s="7" t="inlineStr">
        <is>
          <t>김</t>
        </is>
      </c>
      <c r="B2" s="7" t="inlineStr">
        <is>
          <t>영업</t>
        </is>
      </c>
      <c r="C2" s="7" t="n">
        <v>300</v>
      </c>
      <c r="H2" s="14" t="inlineStr">
        <is>
          <t>부서[B2:B5]가 "영업"인 사원의 매출[C2:C5] 합계를 [C6]에 구하시오.</t>
        </is>
      </c>
    </row>
    <row r="3" ht="22" customHeight="1">
      <c r="A3" s="7" t="inlineStr">
        <is>
          <t>이</t>
        </is>
      </c>
      <c r="B3" s="7" t="inlineStr">
        <is>
          <t>기획</t>
        </is>
      </c>
      <c r="C3" s="7" t="n">
        <v>150</v>
      </c>
    </row>
    <row r="4" ht="22" customHeight="1">
      <c r="A4" s="7" t="inlineStr">
        <is>
          <t>박</t>
        </is>
      </c>
      <c r="B4" s="7" t="inlineStr">
        <is>
          <t>영업</t>
        </is>
      </c>
      <c r="C4" s="7" t="n">
        <v>220</v>
      </c>
    </row>
    <row r="5" ht="20" customHeight="1">
      <c r="A5" s="7" t="inlineStr">
        <is>
          <t>최</t>
        </is>
      </c>
      <c r="B5" s="7" t="inlineStr">
        <is>
          <t>기획</t>
        </is>
      </c>
      <c r="C5" s="7" t="n">
        <v>180</v>
      </c>
      <c r="H5" s="15" t="inlineStr">
        <is>
          <t>C6 의 0 을 지우고 수식을 넣습니다.</t>
        </is>
      </c>
    </row>
    <row r="6" ht="24" customHeight="1">
      <c r="A6" s="7" t="inlineStr">
        <is>
          <t>영업 합계</t>
        </is>
      </c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SUMIF(B2:B5,"영업",C2:C5)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SUMIF(조건범위, 조건, 합계범위)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판매량</t>
        </is>
      </c>
      <c r="H1" s="13" t="inlineStr">
        <is>
          <t>5번 · 100 이상 판매량 합계</t>
        </is>
      </c>
    </row>
    <row r="2" ht="22" customHeight="1">
      <c r="A2" s="7" t="inlineStr">
        <is>
          <t>가</t>
        </is>
      </c>
      <c r="B2" s="7" t="n">
        <v>120</v>
      </c>
      <c r="H2" s="14" t="inlineStr">
        <is>
          <t>판매량[B2:B5] 중 100 이상인 값들의 합계를 [B6]에 구하시오.</t>
        </is>
      </c>
    </row>
    <row r="3" ht="22" customHeight="1">
      <c r="A3" s="7" t="inlineStr">
        <is>
          <t>나</t>
        </is>
      </c>
      <c r="B3" s="7" t="n">
        <v>80</v>
      </c>
    </row>
    <row r="4" ht="22" customHeight="1">
      <c r="A4" s="7" t="inlineStr">
        <is>
          <t>다</t>
        </is>
      </c>
      <c r="B4" s="7" t="n">
        <v>250</v>
      </c>
    </row>
    <row r="5" ht="20" customHeight="1">
      <c r="A5" s="7" t="inlineStr">
        <is>
          <t>라</t>
        </is>
      </c>
      <c r="B5" s="7" t="n">
        <v>90</v>
      </c>
      <c r="H5" s="15" t="inlineStr">
        <is>
          <t>B6 의 0 을 지우고 수식을 넣습니다.</t>
        </is>
      </c>
    </row>
    <row r="6" ht="24" customHeight="1">
      <c r="A6" s="7" t="inlineStr">
        <is>
          <t>100이상 합계</t>
        </is>
      </c>
      <c r="B6" s="18" t="n">
        <v>0</v>
      </c>
      <c r="H6" s="12" t="inlineStr">
        <is>
          <t>채점</t>
        </is>
      </c>
      <c r="I6" s="16">
        <f>IF(NOT(_xlfn.ISFORMULA(B6)),"↖ 0 지우고 수식",IF(COUNTIF(AB6:AB6,TRUE)=1,"✔ 맞음","✘ 다시"))</f>
        <v/>
      </c>
      <c r="J6" s="17" t="n"/>
      <c r="K6" s="17" t="n"/>
      <c r="AA6">
        <f>SUMIF(B2:B5,"&gt;=100")</f>
        <v/>
      </c>
      <c r="AB6">
        <f>AND(_xlfn.ISFORMULA(B6),IFERROR(ROUND(B6,4)=ROUND(AA6,4),EXACT(B6,AA6)))</f>
        <v/>
      </c>
    </row>
    <row r="8" ht="18" customHeight="1">
      <c r="H8" s="19" t="inlineStr">
        <is>
          <t>💡 막히면: 합계범위를 생략하면 조건범위 자체를 더합니다.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" customWidth="1" min="3" max="3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점수</t>
        </is>
      </c>
      <c r="H1" s="13" t="inlineStr">
        <is>
          <t>6번 · 평균 이상 인원수</t>
        </is>
      </c>
    </row>
    <row r="2" ht="22" customHeight="1">
      <c r="A2" s="7" t="inlineStr">
        <is>
          <t>A</t>
        </is>
      </c>
      <c r="B2" s="7" t="n">
        <v>90</v>
      </c>
      <c r="H2" s="14" t="inlineStr">
        <is>
          <t>점수[B2:B5]가 전체 평균 이상인 사람의 수를 [B6]에 구하시오. (조건을 "&gt;="&amp;평균 형태로 연결)</t>
        </is>
      </c>
    </row>
    <row r="3" ht="22" customHeight="1">
      <c r="A3" s="7" t="inlineStr">
        <is>
          <t>B</t>
        </is>
      </c>
      <c r="B3" s="7" t="n">
        <v>70</v>
      </c>
    </row>
    <row r="4" ht="22" customHeight="1">
      <c r="A4" s="7" t="inlineStr">
        <is>
          <t>C</t>
        </is>
      </c>
      <c r="B4" s="7" t="n">
        <v>85</v>
      </c>
    </row>
    <row r="5" ht="20" customHeight="1">
      <c r="A5" s="7" t="inlineStr">
        <is>
          <t>D</t>
        </is>
      </c>
      <c r="B5" s="7" t="n">
        <v>55</v>
      </c>
      <c r="H5" s="15" t="inlineStr">
        <is>
          <t>B6 의 0 을 지우고 수식을 넣습니다.</t>
        </is>
      </c>
    </row>
    <row r="6" ht="24" customHeight="1">
      <c r="A6" s="7" t="inlineStr">
        <is>
          <t>평균이상</t>
        </is>
      </c>
      <c r="B6" s="18" t="n">
        <v>0</v>
      </c>
      <c r="H6" s="12" t="inlineStr">
        <is>
          <t>채점</t>
        </is>
      </c>
      <c r="I6" s="16">
        <f>IF(NOT(_xlfn.ISFORMULA(B6)),"↖ 0 지우고 수식",IF(COUNTIF(AB6:AB6,TRUE)=1,"✔ 맞음","✘ 다시"))</f>
        <v/>
      </c>
      <c r="J6" s="17" t="n"/>
      <c r="K6" s="17" t="n"/>
      <c r="AA6">
        <f>COUNTIF(B2:B5,"&gt;="&amp;AVERAGE(B2:B5))</f>
        <v/>
      </c>
      <c r="AB6">
        <f>AND(_xlfn.ISFORMULA(B6),IFERROR(ROUND(B6,4)=ROUND(AA6,4),EXACT(B6,AA6)))</f>
        <v/>
      </c>
    </row>
    <row r="8" ht="18" customHeight="1">
      <c r="H8" s="19" t="inlineStr">
        <is>
          <t>💡 막히면: 문자 조건과 계산값은 &amp; 로 이어 붙입니다.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반</t>
        </is>
      </c>
      <c r="C1" s="12" t="inlineStr">
        <is>
          <t>점수</t>
        </is>
      </c>
      <c r="H1" s="13" t="inlineStr">
        <is>
          <t>7번 · 특정 반의 인원수</t>
        </is>
      </c>
    </row>
    <row r="2" ht="22" customHeight="1">
      <c r="A2" s="7" t="inlineStr">
        <is>
          <t>김하늘</t>
        </is>
      </c>
      <c r="B2" s="7" t="inlineStr">
        <is>
          <t>1반</t>
        </is>
      </c>
      <c r="C2" s="7" t="n">
        <v>80</v>
      </c>
      <c r="H2" s="14" t="inlineStr">
        <is>
          <t>반[B2:B5]이 "1반"인 학생 수를 [C6]에 구하시오.</t>
        </is>
      </c>
    </row>
    <row r="3" ht="22" customHeight="1">
      <c r="A3" s="7" t="inlineStr">
        <is>
          <t>이바다</t>
        </is>
      </c>
      <c r="B3" s="7" t="inlineStr">
        <is>
          <t>2반</t>
        </is>
      </c>
      <c r="C3" s="7" t="n">
        <v>70</v>
      </c>
    </row>
    <row r="4" ht="22" customHeight="1">
      <c r="A4" s="7" t="inlineStr">
        <is>
          <t>박구름</t>
        </is>
      </c>
      <c r="B4" s="7" t="inlineStr">
        <is>
          <t>1반</t>
        </is>
      </c>
      <c r="C4" s="7" t="n">
        <v>95</v>
      </c>
    </row>
    <row r="5" ht="20" customHeight="1">
      <c r="A5" s="7" t="inlineStr">
        <is>
          <t>최나무</t>
        </is>
      </c>
      <c r="B5" s="7" t="inlineStr">
        <is>
          <t>2반</t>
        </is>
      </c>
      <c r="C5" s="7" t="n">
        <v>55</v>
      </c>
      <c r="H5" s="15" t="inlineStr">
        <is>
          <t>C6 의 0 을 지우고 수식을 넣습니다.</t>
        </is>
      </c>
    </row>
    <row r="6" ht="24" customHeight="1"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COUNTIF(B2:B5,"1반")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COUNTIF(범위, 조건)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품목</t>
        </is>
      </c>
      <c r="B1" s="12" t="inlineStr">
        <is>
          <t>분류</t>
        </is>
      </c>
      <c r="C1" s="12" t="inlineStr">
        <is>
          <t>금액</t>
        </is>
      </c>
      <c r="H1" s="13" t="inlineStr">
        <is>
          <t>8번 · 조건에 맞는 것만 더하기</t>
        </is>
      </c>
    </row>
    <row r="2" ht="22" customHeight="1">
      <c r="A2" s="7" t="inlineStr">
        <is>
          <t>노트</t>
        </is>
      </c>
      <c r="B2" s="7" t="inlineStr">
        <is>
          <t>문구</t>
        </is>
      </c>
      <c r="C2" s="7" t="n">
        <v>3000</v>
      </c>
      <c r="H2" s="14" t="inlineStr">
        <is>
          <t>분류[B2:B5]가 "문구"인 금액[C2:C5]의 합계를 [C6]에 구하시오.</t>
        </is>
      </c>
    </row>
    <row r="3" ht="22" customHeight="1">
      <c r="A3" s="7" t="inlineStr">
        <is>
          <t>마우스</t>
        </is>
      </c>
      <c r="B3" s="7" t="inlineStr">
        <is>
          <t>전자</t>
        </is>
      </c>
      <c r="C3" s="7" t="n">
        <v>12000</v>
      </c>
    </row>
    <row r="4" ht="22" customHeight="1">
      <c r="A4" s="7" t="inlineStr">
        <is>
          <t>펜</t>
        </is>
      </c>
      <c r="B4" s="7" t="inlineStr">
        <is>
          <t>문구</t>
        </is>
      </c>
      <c r="C4" s="7" t="n">
        <v>1500</v>
      </c>
    </row>
    <row r="5" ht="20" customHeight="1">
      <c r="A5" s="7" t="inlineStr">
        <is>
          <t>키보드</t>
        </is>
      </c>
      <c r="B5" s="7" t="inlineStr">
        <is>
          <t>전자</t>
        </is>
      </c>
      <c r="C5" s="7" t="n">
        <v>25000</v>
      </c>
      <c r="H5" s="15" t="inlineStr">
        <is>
          <t>C6 의 0 을 지우고 수식을 넣습니다.</t>
        </is>
      </c>
    </row>
    <row r="6" ht="24" customHeight="1"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SUMIF(B2:B5,"문구",C2:C5)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SUMIF(조건범위, 조건, 합계범위) — 합계 범위가 맨 뒤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B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3" customWidth="1" min="4" max="4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이름</t>
        </is>
      </c>
      <c r="B1" s="12" t="inlineStr">
        <is>
          <t>성별</t>
        </is>
      </c>
      <c r="C1" s="12" t="inlineStr">
        <is>
          <t>기록</t>
        </is>
      </c>
      <c r="H1" s="13" t="inlineStr">
        <is>
          <t>9번 · 조건에 맞는 것의 평균</t>
        </is>
      </c>
    </row>
    <row r="2" ht="22" customHeight="1">
      <c r="A2" s="7" t="inlineStr">
        <is>
          <t>김하늘</t>
        </is>
      </c>
      <c r="B2" s="7" t="inlineStr">
        <is>
          <t>남</t>
        </is>
      </c>
      <c r="C2" s="7" t="n">
        <v>14.2</v>
      </c>
      <c r="H2" s="14" t="inlineStr">
        <is>
          <t>성별[B2:B5]이 "남"인 기록[C2:C5]의 평균을 [C6]에 구하시오.</t>
        </is>
      </c>
    </row>
    <row r="3" ht="22" customHeight="1">
      <c r="A3" s="7" t="inlineStr">
        <is>
          <t>이바다</t>
        </is>
      </c>
      <c r="B3" s="7" t="inlineStr">
        <is>
          <t>여</t>
        </is>
      </c>
      <c r="C3" s="7" t="n">
        <v>16.5</v>
      </c>
    </row>
    <row r="4" ht="22" customHeight="1">
      <c r="A4" s="7" t="inlineStr">
        <is>
          <t>박구름</t>
        </is>
      </c>
      <c r="B4" s="7" t="inlineStr">
        <is>
          <t>남</t>
        </is>
      </c>
      <c r="C4" s="7" t="n">
        <v>13.8</v>
      </c>
    </row>
    <row r="5" ht="20" customHeight="1">
      <c r="A5" s="7" t="inlineStr">
        <is>
          <t>최나무</t>
        </is>
      </c>
      <c r="B5" s="7" t="inlineStr">
        <is>
          <t>여</t>
        </is>
      </c>
      <c r="C5" s="7" t="n">
        <v>15.9</v>
      </c>
      <c r="H5" s="15" t="inlineStr">
        <is>
          <t>C6 의 0 을 지우고 수식을 넣습니다.</t>
        </is>
      </c>
    </row>
    <row r="6" ht="24" customHeight="1">
      <c r="C6" s="18" t="n">
        <v>0</v>
      </c>
      <c r="H6" s="12" t="inlineStr">
        <is>
          <t>채점</t>
        </is>
      </c>
      <c r="I6" s="16">
        <f>IF(NOT(_xlfn.ISFORMULA(C6)),"↖ 0 지우고 수식",IF(COUNTIF(AB6:AB6,TRUE)=1,"✔ 맞음","✘ 다시"))</f>
        <v/>
      </c>
      <c r="J6" s="17" t="n"/>
      <c r="K6" s="17" t="n"/>
      <c r="AA6">
        <f>AVERAGEIF(B2:B5,"남",C2:C5)</f>
        <v/>
      </c>
      <c r="AB6">
        <f>AND(_xlfn.ISFORMULA(C6),IFERROR(ROUND(C6,4)=ROUND(AA6,4),EXACT(C6,AA6)))</f>
        <v/>
      </c>
    </row>
    <row r="8" ht="18" customHeight="1">
      <c r="H8" s="19" t="inlineStr">
        <is>
          <t>💡 막히면: AVERAGEIF(조건범위, 조건, 평균범위)</t>
        </is>
      </c>
    </row>
    <row r="9" ht="18" customHeight="1"/>
  </sheetData>
  <mergeCells count="5">
    <mergeCell ref="H5:N5"/>
    <mergeCell ref="H8:N9"/>
    <mergeCell ref="H2:N4"/>
    <mergeCell ref="H1:N1"/>
    <mergeCell ref="I6:K6"/>
  </mergeCells>
  <conditionalFormatting sqref="I6">
    <cfRule type="expression" priority="1" dxfId="0">
      <formula>ISNUMBER(SEARCH("맞",I6))</formula>
    </cfRule>
    <cfRule type="expression" priority="2" dxfId="1">
      <formula>ISNUMBER(SEARCH("다시",I6))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12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4" customWidth="1" min="6" max="6"/>
    <col width="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hidden="1" width="13" customWidth="1" min="27" max="27"/>
    <col hidden="1" width="13" customWidth="1" min="28" max="28"/>
  </cols>
  <sheetData>
    <row r="1" ht="24" customHeight="1">
      <c r="A1" s="12" t="inlineStr">
        <is>
          <t>제품</t>
        </is>
      </c>
      <c r="B1" s="12" t="inlineStr">
        <is>
          <t>라인</t>
        </is>
      </c>
      <c r="C1" s="12" t="inlineStr">
        <is>
          <t>생산량</t>
        </is>
      </c>
      <c r="D1" s="17" t="n"/>
      <c r="E1" s="12" t="inlineStr">
        <is>
          <t>라인</t>
        </is>
      </c>
      <c r="F1" s="12" t="inlineStr">
        <is>
          <t>합계</t>
        </is>
      </c>
      <c r="H1" s="13" t="inlineStr">
        <is>
          <t>10번 · 라인별 생산량 합계 표</t>
        </is>
      </c>
    </row>
    <row r="2" ht="22" customHeight="1">
      <c r="A2" s="7" t="inlineStr">
        <is>
          <t>베어링</t>
        </is>
      </c>
      <c r="B2" s="7" t="inlineStr">
        <is>
          <t>A</t>
        </is>
      </c>
      <c r="C2" s="7" t="n">
        <v>120</v>
      </c>
      <c r="E2" s="7" t="inlineStr">
        <is>
          <t>A</t>
        </is>
      </c>
      <c r="F2" s="18" t="n">
        <v>0</v>
      </c>
      <c r="H2" s="14" t="inlineStr">
        <is>
          <t>라인[B2:B8]이 [E2:E4]의 라인과 같은 것의 생산량 합계를 [F2:F4]에 구하시오.</t>
        </is>
      </c>
      <c r="AA2">
        <f>SUMIF($B$2:$B$8,E2,$C$2:$C$8)</f>
        <v/>
      </c>
      <c r="AB2">
        <f>AND(_xlfn.ISFORMULA(F2),IFERROR(ROUND(F2,4)=ROUND(AA2,4),EXACT(F2,AA2)))</f>
        <v/>
      </c>
    </row>
    <row r="3" ht="22" customHeight="1">
      <c r="A3" s="7" t="inlineStr">
        <is>
          <t>기어</t>
        </is>
      </c>
      <c r="B3" s="7" t="inlineStr">
        <is>
          <t>B</t>
        </is>
      </c>
      <c r="C3" s="7" t="n">
        <v>80</v>
      </c>
      <c r="E3" s="7" t="inlineStr">
        <is>
          <t>C</t>
        </is>
      </c>
      <c r="F3" s="18" t="n">
        <v>0</v>
      </c>
      <c r="AA3">
        <f>SUMIF($B$2:$B$8,E3,$C$2:$C$8)</f>
        <v/>
      </c>
      <c r="AB3">
        <f>AND(_xlfn.ISFORMULA(F3),IFERROR(ROUND(F3,4)=ROUND(AA3,4),EXACT(F3,AA3)))</f>
        <v/>
      </c>
    </row>
    <row r="4" ht="22" customHeight="1">
      <c r="A4" s="7" t="inlineStr">
        <is>
          <t>구동축</t>
        </is>
      </c>
      <c r="B4" s="7" t="inlineStr">
        <is>
          <t>A</t>
        </is>
      </c>
      <c r="C4" s="7" t="n">
        <v>150</v>
      </c>
      <c r="E4" s="7" t="inlineStr">
        <is>
          <t>B</t>
        </is>
      </c>
      <c r="F4" s="18" t="n">
        <v>0</v>
      </c>
      <c r="AA4">
        <f>SUMIF($B$2:$B$8,E4,$C$2:$C$8)</f>
        <v/>
      </c>
      <c r="AB4">
        <f>AND(_xlfn.ISFORMULA(F4),IFERROR(ROUND(F4,4)=ROUND(AA4,4),EXACT(F4,AA4)))</f>
        <v/>
      </c>
    </row>
    <row r="5" ht="20" customHeight="1">
      <c r="A5" s="7" t="inlineStr">
        <is>
          <t>밸브</t>
        </is>
      </c>
      <c r="B5" s="7" t="inlineStr">
        <is>
          <t>C</t>
        </is>
      </c>
      <c r="C5" s="7" t="n">
        <v>90</v>
      </c>
      <c r="H5" s="15" t="inlineStr">
        <is>
          <t>① F2 의 0 을 지우고 수식을 넣습니다.
② 채우기 핸들(칸 오른쪽 아래 ■)을 F4 까지 끌어내립니다.</t>
        </is>
      </c>
    </row>
    <row r="6" ht="20" customHeight="1">
      <c r="A6" s="7" t="inlineStr">
        <is>
          <t>기어</t>
        </is>
      </c>
      <c r="B6" s="7" t="inlineStr">
        <is>
          <t>B</t>
        </is>
      </c>
      <c r="C6" s="7" t="n">
        <v>110</v>
      </c>
    </row>
    <row r="7" ht="24" customHeight="1">
      <c r="A7" s="7" t="inlineStr">
        <is>
          <t>구동축</t>
        </is>
      </c>
      <c r="B7" s="7" t="inlineStr">
        <is>
          <t>C</t>
        </is>
      </c>
      <c r="C7" s="7" t="n">
        <v>60</v>
      </c>
      <c r="H7" s="12" t="inlineStr">
        <is>
          <t>채점</t>
        </is>
      </c>
      <c r="I7" s="16">
        <f>IF(NOT(_xlfn.ISFORMULA(F2)),"↖ 0 지우고 수식",IF(COUNTIF(AB2:AB4,TRUE)=3,"✔ 맞음","✘ 다시 ("&amp;COUNTIF(AB2:AB4,TRUE)&amp;" / 3칸)"))</f>
        <v/>
      </c>
      <c r="J7" s="17" t="n"/>
      <c r="K7" s="17" t="n"/>
    </row>
    <row r="8" ht="18" customHeight="1">
      <c r="A8" s="7" t="inlineStr">
        <is>
          <t>밸브</t>
        </is>
      </c>
      <c r="B8" s="7" t="inlineStr">
        <is>
          <t>A</t>
        </is>
      </c>
      <c r="C8" s="7" t="n">
        <v>70</v>
      </c>
      <c r="H8" s="20" t="inlineStr">
        <is>
          <t>칸마다 따로 채점합니다. 첫 칸만 맞고 아래가 틀리면 — 끌어내릴 때 움직이면 안 되는 주소에 $ 가 있는지 보세요.</t>
        </is>
      </c>
    </row>
    <row r="9" ht="18" customHeight="1"/>
    <row r="11" ht="18" customHeight="1">
      <c r="H11" s="19" t="inlineStr">
        <is>
          <t>💡 막히면: SUMIF(조건 범위, 조건, 합계 범위). 조건(E2)은 한 줄씩 내려가야 하고, 두 범위는 고정이어야 합니다.</t>
        </is>
      </c>
    </row>
    <row r="12" ht="18" customHeight="1"/>
  </sheetData>
  <mergeCells count="6">
    <mergeCell ref="H11:N12"/>
    <mergeCell ref="H5:N6"/>
    <mergeCell ref="H8:N9"/>
    <mergeCell ref="H2:N4"/>
    <mergeCell ref="H1:N1"/>
    <mergeCell ref="I7:K7"/>
  </mergeCells>
  <conditionalFormatting sqref="I7">
    <cfRule type="expression" priority="1" dxfId="0">
      <formula>ISNUMBER(SEARCH("맞",I7))</formula>
    </cfRule>
    <cfRule type="expression" priority="2" dxfId="1">
      <formula>ISNUMBER(SEARCH("다시",I7))</formula>
    </cfRule>
  </conditionalFormatting>
  <printOptions horizontalCentered="1"/>
  <pageMargins left="0.3" right="0.3" top="0.4" bottom="0.4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52" customWidth="1" min="4" max="4"/>
    <col width="44" customWidth="1" min="5" max="5"/>
  </cols>
  <sheetData>
    <row r="1" ht="26" customHeight="1">
      <c r="A1" s="5" t="inlineStr">
        <is>
          <t>정답 — 먼저 스스로 풀어 본 뒤에 보세요</t>
        </is>
      </c>
    </row>
    <row r="2" ht="30" customHeight="1">
      <c r="A2" s="21" t="inlineStr">
        <is>
          <t>[넣을 칸] 의 첫 칸에 이 수식을 넣고, 칸이 여러 개면 끝까지 끌어내리면 됩니다.</t>
        </is>
      </c>
    </row>
    <row r="4" ht="24" customHeight="1">
      <c r="A4" s="6" t="inlineStr">
        <is>
          <t>번호</t>
        </is>
      </c>
      <c r="B4" s="6" t="inlineStr">
        <is>
          <t>문제</t>
        </is>
      </c>
      <c r="C4" s="6" t="inlineStr">
        <is>
          <t>넣을 칸</t>
        </is>
      </c>
      <c r="D4" s="6" t="inlineStr">
        <is>
          <t>모범답안 (첫 칸)</t>
        </is>
      </c>
      <c r="E4" s="6" t="inlineStr">
        <is>
          <t>힌트</t>
        </is>
      </c>
    </row>
    <row r="5" ht="30" customHeight="1">
      <c r="A5" s="7" t="n">
        <v>1</v>
      </c>
      <c r="B5" s="8" t="inlineStr">
        <is>
          <t>80점 이상 인원수</t>
        </is>
      </c>
      <c r="C5" s="8" t="inlineStr">
        <is>
          <t>B7</t>
        </is>
      </c>
      <c r="D5" s="22" t="inlineStr">
        <is>
          <t>=COUNTIF(B2:B6,"&gt;=80")</t>
        </is>
      </c>
      <c r="E5" s="23" t="inlineStr">
        <is>
          <t>COUNTIF(범위, "&gt;=80"). 조건은 "따옴표" 안에 씁니다.</t>
        </is>
      </c>
    </row>
    <row r="6" ht="30" customHeight="1">
      <c r="A6" s="24" t="n">
        <v>2</v>
      </c>
      <c r="B6" s="25" t="inlineStr">
        <is>
          <t>합격자 수</t>
        </is>
      </c>
      <c r="C6" s="25" t="inlineStr">
        <is>
          <t>B6</t>
        </is>
      </c>
      <c r="D6" s="26" t="inlineStr">
        <is>
          <t>=COUNTIF(B2:B5,"합격")</t>
        </is>
      </c>
      <c r="E6" s="27" t="inlineStr">
        <is>
          <t>COUNTIF(범위, "합격")</t>
        </is>
      </c>
    </row>
    <row r="7" ht="30" customHeight="1">
      <c r="A7" s="7" t="n">
        <v>3</v>
      </c>
      <c r="B7" s="8" t="inlineStr">
        <is>
          <t>성이 김씨인 사람 수</t>
        </is>
      </c>
      <c r="C7" s="8" t="inlineStr">
        <is>
          <t>B6</t>
        </is>
      </c>
      <c r="D7" s="22" t="inlineStr">
        <is>
          <t>=COUNTIF(A2:A5,"김*")</t>
        </is>
      </c>
      <c r="E7" s="23" t="inlineStr">
        <is>
          <t>"김*" 은 김으로 시작하는 모든 문자열을 뜻합니다.</t>
        </is>
      </c>
    </row>
    <row r="8" ht="30" customHeight="1">
      <c r="A8" s="24" t="n">
        <v>4</v>
      </c>
      <c r="B8" s="25" t="inlineStr">
        <is>
          <t>부서별 매출 합계</t>
        </is>
      </c>
      <c r="C8" s="25" t="inlineStr">
        <is>
          <t>C6</t>
        </is>
      </c>
      <c r="D8" s="26" t="inlineStr">
        <is>
          <t>=SUMIF(B2:B5,"영업",C2:C5)</t>
        </is>
      </c>
      <c r="E8" s="27" t="inlineStr">
        <is>
          <t>SUMIF(조건범위, 조건, 합계범위)</t>
        </is>
      </c>
    </row>
    <row r="9" ht="30" customHeight="1">
      <c r="A9" s="7" t="n">
        <v>5</v>
      </c>
      <c r="B9" s="8" t="inlineStr">
        <is>
          <t>100 이상 판매량 합계</t>
        </is>
      </c>
      <c r="C9" s="8" t="inlineStr">
        <is>
          <t>B6</t>
        </is>
      </c>
      <c r="D9" s="22" t="inlineStr">
        <is>
          <t>=SUMIF(B2:B5,"&gt;=100")</t>
        </is>
      </c>
      <c r="E9" s="23" t="inlineStr">
        <is>
          <t>합계범위를 생략하면 조건범위 자체를 더합니다.</t>
        </is>
      </c>
    </row>
    <row r="10" ht="30" customHeight="1">
      <c r="A10" s="24" t="n">
        <v>6</v>
      </c>
      <c r="B10" s="25" t="inlineStr">
        <is>
          <t>평균 이상 인원수</t>
        </is>
      </c>
      <c r="C10" s="25" t="inlineStr">
        <is>
          <t>B6</t>
        </is>
      </c>
      <c r="D10" s="26" t="inlineStr">
        <is>
          <t>=COUNTIF(B2:B5,"&gt;="&amp;AVERAGE(B2:B5))</t>
        </is>
      </c>
      <c r="E10" s="27" t="inlineStr">
        <is>
          <t>문자 조건과 계산값은 &amp; 로 이어 붙입니다.</t>
        </is>
      </c>
    </row>
    <row r="11" ht="30" customHeight="1">
      <c r="A11" s="7" t="n">
        <v>7</v>
      </c>
      <c r="B11" s="8" t="inlineStr">
        <is>
          <t>특정 반의 인원수</t>
        </is>
      </c>
      <c r="C11" s="8" t="inlineStr">
        <is>
          <t>C6</t>
        </is>
      </c>
      <c r="D11" s="22" t="inlineStr">
        <is>
          <t>=COUNTIF(B2:B5,"1반")</t>
        </is>
      </c>
      <c r="E11" s="23" t="inlineStr">
        <is>
          <t>COUNTIF(범위, 조건)</t>
        </is>
      </c>
    </row>
    <row r="12" ht="30" customHeight="1">
      <c r="A12" s="24" t="n">
        <v>8</v>
      </c>
      <c r="B12" s="25" t="inlineStr">
        <is>
          <t>조건에 맞는 것만 더하기</t>
        </is>
      </c>
      <c r="C12" s="25" t="inlineStr">
        <is>
          <t>C6</t>
        </is>
      </c>
      <c r="D12" s="26" t="inlineStr">
        <is>
          <t>=SUMIF(B2:B5,"문구",C2:C5)</t>
        </is>
      </c>
      <c r="E12" s="27" t="inlineStr">
        <is>
          <t>SUMIF(조건범위, 조건, 합계범위) — 합계 범위가 맨 뒤</t>
        </is>
      </c>
    </row>
    <row r="13" ht="30" customHeight="1">
      <c r="A13" s="7" t="n">
        <v>9</v>
      </c>
      <c r="B13" s="8" t="inlineStr">
        <is>
          <t>조건에 맞는 것의 평균</t>
        </is>
      </c>
      <c r="C13" s="8" t="inlineStr">
        <is>
          <t>C6</t>
        </is>
      </c>
      <c r="D13" s="22" t="inlineStr">
        <is>
          <t>=AVERAGEIF(B2:B5,"남",C2:C5)</t>
        </is>
      </c>
      <c r="E13" s="23" t="inlineStr">
        <is>
          <t>AVERAGEIF(조건범위, 조건, 평균범위)</t>
        </is>
      </c>
    </row>
    <row r="14" ht="30" customHeight="1">
      <c r="A14" s="24" t="n">
        <v>10</v>
      </c>
      <c r="B14" s="25" t="inlineStr">
        <is>
          <t>라인별 생산량 합계 표</t>
        </is>
      </c>
      <c r="C14" s="25" t="inlineStr">
        <is>
          <t>F2:F4</t>
        </is>
      </c>
      <c r="D14" s="26" t="inlineStr">
        <is>
          <t>=SUMIF($B$2:$B$8,E2,$C$2:$C$8)</t>
        </is>
      </c>
      <c r="E14" s="27" t="inlineStr">
        <is>
          <t>SUMIF(조건 범위, 조건, 합계 범위). 조건(E2)은 한 줄씩 내려가야 하고, 두 범위는 고정이어야 합니다.</t>
        </is>
      </c>
    </row>
  </sheetData>
  <mergeCells count="2">
    <mergeCell ref="A2:E2"/>
    <mergeCell ref="A1:E1"/>
  </mergeCells>
  <printOptions horizontalCentered="1"/>
  <pageMargins left="0.3" right="0.3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2026-09-28T00:29:28Z</dcterms:created>
  <dcterms:modified xmlns:dcterms="http://purl.org/dc/terms/" xmlns:xsi="http://www.w3.org/2001/XMLSchema-instance" xsi:type="dcterms:W3CDTF">2026-09-28T00:29:28Z</dcterms:modified>
</cp:coreProperties>
</file>