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정수로 반올림" sheetId="3" state="visible" r:id="rId3"/>
    <sheet xmlns:r="http://schemas.openxmlformats.org/officeDocument/2006/relationships" name="02 백의 자리에서 반올림" sheetId="4" state="visible" r:id="rId4"/>
    <sheet xmlns:r="http://schemas.openxmlformats.org/officeDocument/2006/relationships" name="03 올림 처리" sheetId="5" state="visible" r:id="rId5"/>
    <sheet xmlns:r="http://schemas.openxmlformats.org/officeDocument/2006/relationships" name="04 내림 처리" sheetId="6" state="visible" r:id="rId6"/>
    <sheet xmlns:r="http://schemas.openxmlformats.org/officeDocument/2006/relationships" name="05 몫 구하기" sheetId="7" state="visible" r:id="rId7"/>
    <sheet xmlns:r="http://schemas.openxmlformats.org/officeDocument/2006/relationships" name="06 나머지 구하기" sheetId="8" state="visible" r:id="rId8"/>
    <sheet xmlns:r="http://schemas.openxmlformats.org/officeDocument/2006/relationships" name="07 차이의 절댓값" sheetId="9" state="visible" r:id="rId9"/>
    <sheet xmlns:r="http://schemas.openxmlformats.org/officeDocument/2006/relationships" name="08 거듭제곱" sheetId="10" state="visible" r:id="rId10"/>
    <sheet xmlns:r="http://schemas.openxmlformats.org/officeDocument/2006/relationships" name="09 곱 구하기" sheetId="11" state="visible" r:id="rId11"/>
    <sheet xmlns:r="http://schemas.openxmlformats.org/officeDocument/2006/relationships" name="10 십의 자리까지 내림" sheetId="12" state="visible" r:id="rId12"/>
    <sheet xmlns:r="http://schemas.openxmlformats.org/officeDocument/2006/relationships" name="11 나눈 나머지로 판정" sheetId="13" state="visible" r:id="rId13"/>
    <sheet xmlns:r="http://schemas.openxmlformats.org/officeDocument/2006/relationships" name="12 거듭제곱으로 넓이" sheetId="14" state="visible" r:id="rId14"/>
    <sheet xmlns:r="http://schemas.openxmlformats.org/officeDocument/2006/relationships" name="13 전체에서 차지하는 비율%" sheetId="15" state="visible" r:id="rId15"/>
    <sheet xmlns:r="http://schemas.openxmlformats.org/officeDocument/2006/relationships" name="정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수학반올림 (13문제)</t>
        </is>
      </c>
    </row>
    <row r="3" ht="19" customHeight="1">
      <c r="B3" s="2" t="inlineStr">
        <is>
          <t>웹 「함수 연습소」의 [수학·반올림]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수학반올림 13문제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정수로 반올림</t>
        </is>
      </c>
      <c r="C4" s="7" t="inlineStr">
        <is>
          <t>B2 → B7</t>
        </is>
      </c>
      <c r="D4" s="9">
        <f>'01 정수로 반올림'!I7</f>
        <v/>
      </c>
    </row>
    <row r="5">
      <c r="A5" s="7" t="n">
        <v>2</v>
      </c>
      <c r="B5" s="8" t="inlineStr">
        <is>
          <t>백의 자리에서 반올림</t>
        </is>
      </c>
      <c r="C5" s="7" t="inlineStr">
        <is>
          <t>B2 → B7</t>
        </is>
      </c>
      <c r="D5" s="9">
        <f>'02 백의 자리에서 반올림'!I7</f>
        <v/>
      </c>
    </row>
    <row r="6">
      <c r="A6" s="7" t="n">
        <v>3</v>
      </c>
      <c r="B6" s="8" t="inlineStr">
        <is>
          <t>올림 처리</t>
        </is>
      </c>
      <c r="C6" s="7" t="inlineStr">
        <is>
          <t>C2 → C7</t>
        </is>
      </c>
      <c r="D6" s="9">
        <f>'03 올림 처리'!I7</f>
        <v/>
      </c>
    </row>
    <row r="7">
      <c r="A7" s="7" t="n">
        <v>4</v>
      </c>
      <c r="B7" s="8" t="inlineStr">
        <is>
          <t>내림 처리</t>
        </is>
      </c>
      <c r="C7" s="7" t="inlineStr">
        <is>
          <t>C2 → C7</t>
        </is>
      </c>
      <c r="D7" s="9">
        <f>'04 내림 처리'!I7</f>
        <v/>
      </c>
    </row>
    <row r="8">
      <c r="A8" s="7" t="n">
        <v>5</v>
      </c>
      <c r="B8" s="8" t="inlineStr">
        <is>
          <t>몫 구하기</t>
        </is>
      </c>
      <c r="C8" s="7" t="inlineStr">
        <is>
          <t>C2 → C7</t>
        </is>
      </c>
      <c r="D8" s="9">
        <f>'05 몫 구하기'!I7</f>
        <v/>
      </c>
    </row>
    <row r="9">
      <c r="A9" s="7" t="n">
        <v>6</v>
      </c>
      <c r="B9" s="8" t="inlineStr">
        <is>
          <t>나머지 구하기</t>
        </is>
      </c>
      <c r="C9" s="7" t="inlineStr">
        <is>
          <t>C2 → C7</t>
        </is>
      </c>
      <c r="D9" s="9">
        <f>'06 나머지 구하기'!I7</f>
        <v/>
      </c>
    </row>
    <row r="10">
      <c r="A10" s="7" t="n">
        <v>7</v>
      </c>
      <c r="B10" s="8" t="inlineStr">
        <is>
          <t>차이의 절댓값</t>
        </is>
      </c>
      <c r="C10" s="7" t="inlineStr">
        <is>
          <t>C2 → C7</t>
        </is>
      </c>
      <c r="D10" s="9">
        <f>'07 차이의 절댓값'!I7</f>
        <v/>
      </c>
    </row>
    <row r="11">
      <c r="A11" s="7" t="n">
        <v>8</v>
      </c>
      <c r="B11" s="8" t="inlineStr">
        <is>
          <t>거듭제곱</t>
        </is>
      </c>
      <c r="C11" s="7" t="inlineStr">
        <is>
          <t>B2 → B7</t>
        </is>
      </c>
      <c r="D11" s="9">
        <f>'08 거듭제곱'!I7</f>
        <v/>
      </c>
    </row>
    <row r="12">
      <c r="A12" s="7" t="n">
        <v>9</v>
      </c>
      <c r="B12" s="8" t="inlineStr">
        <is>
          <t>곱 구하기</t>
        </is>
      </c>
      <c r="C12" s="7" t="inlineStr">
        <is>
          <t>D2 → D7</t>
        </is>
      </c>
      <c r="D12" s="9">
        <f>'09 곱 구하기'!I7</f>
        <v/>
      </c>
    </row>
    <row r="13">
      <c r="A13" s="7" t="n">
        <v>10</v>
      </c>
      <c r="B13" s="8" t="inlineStr">
        <is>
          <t>십의 자리까지 내림</t>
        </is>
      </c>
      <c r="C13" s="7" t="inlineStr">
        <is>
          <t>B2 → B7</t>
        </is>
      </c>
      <c r="D13" s="9">
        <f>'10 십의 자리까지 내림'!I7</f>
        <v/>
      </c>
    </row>
    <row r="14">
      <c r="A14" s="7" t="n">
        <v>11</v>
      </c>
      <c r="B14" s="8" t="inlineStr">
        <is>
          <t>나눈 나머지로 판정</t>
        </is>
      </c>
      <c r="C14" s="7" t="inlineStr">
        <is>
          <t>B2 → B7</t>
        </is>
      </c>
      <c r="D14" s="9">
        <f>'11 나눈 나머지로 판정'!I7</f>
        <v/>
      </c>
    </row>
    <row r="15">
      <c r="A15" s="7" t="n">
        <v>12</v>
      </c>
      <c r="B15" s="8" t="inlineStr">
        <is>
          <t>거듭제곱으로 넓이</t>
        </is>
      </c>
      <c r="C15" s="7" t="inlineStr">
        <is>
          <t>B2 → B7</t>
        </is>
      </c>
      <c r="D15" s="9">
        <f>'12 거듭제곱으로 넓이'!I7</f>
        <v/>
      </c>
    </row>
    <row r="16">
      <c r="A16" s="7" t="n">
        <v>13</v>
      </c>
      <c r="B16" s="8" t="inlineStr">
        <is>
          <t>전체에서 차지하는 비율(%)</t>
        </is>
      </c>
      <c r="C16" s="7" t="inlineStr">
        <is>
          <t>C2 → C6</t>
        </is>
      </c>
      <c r="D16" s="9">
        <f>'13 전체에서 차지하는 비율%'!I7</f>
        <v/>
      </c>
    </row>
    <row r="18">
      <c r="B18" s="10" t="inlineStr">
        <is>
          <t>맞은 문제</t>
        </is>
      </c>
      <c r="D18" s="11">
        <f>COUNTIF(D4:D16,"*맞음*")&amp;" / 13"</f>
        <v/>
      </c>
    </row>
  </sheetData>
  <mergeCells count="1">
    <mergeCell ref="A1:D1"/>
  </mergeCells>
  <conditionalFormatting sqref="D4:D16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값</t>
        </is>
      </c>
      <c r="B1" s="12" t="inlineStr">
        <is>
          <t>결과</t>
        </is>
      </c>
      <c r="H1" s="13" t="inlineStr">
        <is>
          <t>1번 · 정수로 반올림</t>
        </is>
      </c>
    </row>
    <row r="2" ht="22" customHeight="1">
      <c r="A2" s="7" t="n">
        <v>3567.48</v>
      </c>
      <c r="B2" s="14" t="n">
        <v>0</v>
      </c>
      <c r="H2" s="15" t="inlineStr">
        <is>
          <t>값[A2:A7]을 정수(소수점 없이)로 반올림하여 [B2:B7]에 표시하시오.</t>
        </is>
      </c>
      <c r="AA2">
        <f>ROUND(A2,0)</f>
        <v/>
      </c>
      <c r="AB2">
        <f>AND(_xlfn.ISFORMULA(B2),IFERROR(ROUND(B2,4)=ROUND(AA2,4),EXACT(B2,AA2)))</f>
        <v/>
      </c>
    </row>
    <row r="3" ht="22" customHeight="1">
      <c r="A3" s="7" t="n">
        <v>3567.5</v>
      </c>
      <c r="B3" s="14" t="n">
        <v>0</v>
      </c>
      <c r="AA3">
        <f>ROUND(A3,0)</f>
        <v/>
      </c>
      <c r="AB3">
        <f>AND(_xlfn.ISFORMULA(B3),IFERROR(ROUND(B3,4)=ROUND(AA3,4),EXACT(B3,AA3)))</f>
        <v/>
      </c>
    </row>
    <row r="4" ht="22" customHeight="1">
      <c r="A4" s="7" t="n">
        <v>-12.5</v>
      </c>
      <c r="B4" s="14" t="n">
        <v>0</v>
      </c>
      <c r="AA4">
        <f>ROUND(A4,0)</f>
        <v/>
      </c>
      <c r="AB4">
        <f>AND(_xlfn.ISFORMULA(B4),IFERROR(ROUND(B4,4)=ROUND(AA4,4),EXACT(B4,AA4)))</f>
        <v/>
      </c>
    </row>
    <row r="5" ht="20" customHeight="1">
      <c r="A5" s="7" t="n">
        <v>0.49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ROUND(A5,0)</f>
        <v/>
      </c>
      <c r="AB5">
        <f>AND(_xlfn.ISFORMULA(B5),IFERROR(ROUND(B5,4)=ROUND(AA5,4),EXACT(B5,AA5)))</f>
        <v/>
      </c>
    </row>
    <row r="6" ht="20" customHeight="1">
      <c r="A6" s="7" t="n">
        <v>1024.51</v>
      </c>
      <c r="B6" s="14" t="n">
        <v>0</v>
      </c>
      <c r="AA6">
        <f>ROUND(A6,0)</f>
        <v/>
      </c>
      <c r="AB6">
        <f>AND(_xlfn.ISFORMULA(B6),IFERROR(ROUND(B6,4)=ROUND(AA6,4),EXACT(B6,AA6)))</f>
        <v/>
      </c>
    </row>
    <row r="7" ht="24" customHeight="1">
      <c r="A7" s="7" t="n">
        <v>99.98999999999999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ROUND(A7,0)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자릿수 0은 정수 자리까지 반올림합니다.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값</t>
        </is>
      </c>
      <c r="B1" s="12" t="inlineStr">
        <is>
          <t>결과</t>
        </is>
      </c>
      <c r="H1" s="13" t="inlineStr">
        <is>
          <t>2번 · 백의 자리에서 반올림</t>
        </is>
      </c>
    </row>
    <row r="2" ht="22" customHeight="1">
      <c r="A2" s="7" t="n">
        <v>3567.48</v>
      </c>
      <c r="B2" s="14" t="n">
        <v>0</v>
      </c>
      <c r="H2" s="15" t="inlineStr">
        <is>
          <t>값[A2:A7]을 백의 자리까지 반올림하여 [B2:B7]에 표시하시오. (예: 3567 → 3600)</t>
        </is>
      </c>
      <c r="AA2">
        <f>ROUND(A2,-2)</f>
        <v/>
      </c>
      <c r="AB2">
        <f>AND(_xlfn.ISFORMULA(B2),IFERROR(ROUND(B2,4)=ROUND(AA2,4),EXACT(B2,AA2)))</f>
        <v/>
      </c>
    </row>
    <row r="3" ht="22" customHeight="1">
      <c r="A3" s="7" t="n">
        <v>1249.9</v>
      </c>
      <c r="B3" s="14" t="n">
        <v>0</v>
      </c>
      <c r="AA3">
        <f>ROUND(A3,-2)</f>
        <v/>
      </c>
      <c r="AB3">
        <f>AND(_xlfn.ISFORMULA(B3),IFERROR(ROUND(B3,4)=ROUND(AA3,4),EXACT(B3,AA3)))</f>
        <v/>
      </c>
    </row>
    <row r="4" ht="22" customHeight="1">
      <c r="A4" s="7" t="n">
        <v>1250</v>
      </c>
      <c r="B4" s="14" t="n">
        <v>0</v>
      </c>
      <c r="AA4">
        <f>ROUND(A4,-2)</f>
        <v/>
      </c>
      <c r="AB4">
        <f>AND(_xlfn.ISFORMULA(B4),IFERROR(ROUND(B4,4)=ROUND(AA4,4),EXACT(B4,AA4)))</f>
        <v/>
      </c>
    </row>
    <row r="5" ht="20" customHeight="1">
      <c r="A5" s="7" t="n">
        <v>87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ROUND(A5,-2)</f>
        <v/>
      </c>
      <c r="AB5">
        <f>AND(_xlfn.ISFORMULA(B5),IFERROR(ROUND(B5,4)=ROUND(AA5,4),EXACT(B5,AA5)))</f>
        <v/>
      </c>
    </row>
    <row r="6" ht="20" customHeight="1">
      <c r="A6" s="7" t="n">
        <v>45678</v>
      </c>
      <c r="B6" s="14" t="n">
        <v>0</v>
      </c>
      <c r="AA6">
        <f>ROUND(A6,-2)</f>
        <v/>
      </c>
      <c r="AB6">
        <f>AND(_xlfn.ISFORMULA(B6),IFERROR(ROUND(B6,4)=ROUND(AA6,4),EXACT(B6,AA6)))</f>
        <v/>
      </c>
    </row>
    <row r="7" ht="24" customHeight="1">
      <c r="A7" s="7" t="n">
        <v>-3456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ROUND(A7,-2)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자릿수를 음수로 주면 정수 왼쪽 자리에서 처리합니다.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단가</t>
        </is>
      </c>
      <c r="B1" s="12" t="inlineStr">
        <is>
          <t>수량</t>
        </is>
      </c>
      <c r="C1" s="12" t="inlineStr">
        <is>
          <t>금액</t>
        </is>
      </c>
      <c r="H1" s="13" t="inlineStr">
        <is>
          <t>3번 · 올림 처리</t>
        </is>
      </c>
    </row>
    <row r="2" ht="22" customHeight="1">
      <c r="A2" s="7" t="n">
        <v>1234</v>
      </c>
      <c r="B2" s="7" t="n">
        <v>3.1</v>
      </c>
      <c r="C2" s="14" t="n">
        <v>0</v>
      </c>
      <c r="H2" s="15" t="inlineStr">
        <is>
          <t>단가[A2:A7]×수량[B2:B7]을 계산해 정수로 올림하여 [C2:C7]에 표시하시오.</t>
        </is>
      </c>
      <c r="AA2">
        <f>ROUNDUP(A2*B2,0)</f>
        <v/>
      </c>
      <c r="AB2">
        <f>AND(_xlfn.ISFORMULA(C2),IFERROR(ROUND(C2,4)=ROUND(AA2,4),EXACT(C2,AA2)))</f>
        <v/>
      </c>
    </row>
    <row r="3" ht="22" customHeight="1">
      <c r="A3" s="7" t="n">
        <v>1000</v>
      </c>
      <c r="B3" s="7" t="n">
        <v>2</v>
      </c>
      <c r="C3" s="14" t="n">
        <v>0</v>
      </c>
      <c r="AA3">
        <f>ROUNDUP(A3*B3,0)</f>
        <v/>
      </c>
      <c r="AB3">
        <f>AND(_xlfn.ISFORMULA(C3),IFERROR(ROUND(C3,4)=ROUND(AA3,4),EXACT(C3,AA3)))</f>
        <v/>
      </c>
    </row>
    <row r="4" ht="22" customHeight="1">
      <c r="A4" s="7" t="n">
        <v>999</v>
      </c>
      <c r="B4" s="7" t="n">
        <v>1.01</v>
      </c>
      <c r="C4" s="14" t="n">
        <v>0</v>
      </c>
      <c r="AA4">
        <f>ROUNDUP(A4*B4,0)</f>
        <v/>
      </c>
      <c r="AB4">
        <f>AND(_xlfn.ISFORMULA(C4),IFERROR(ROUND(C4,4)=ROUND(AA4,4),EXACT(C4,AA4)))</f>
        <v/>
      </c>
    </row>
    <row r="5" ht="20" customHeight="1">
      <c r="A5" s="7" t="n">
        <v>2500</v>
      </c>
      <c r="B5" s="7" t="n">
        <v>0.3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ROUNDUP(A5*B5,0)</f>
        <v/>
      </c>
      <c r="AB5">
        <f>AND(_xlfn.ISFORMULA(C5),IFERROR(ROUND(C5,4)=ROUND(AA5,4),EXACT(C5,AA5)))</f>
        <v/>
      </c>
    </row>
    <row r="6" ht="20" customHeight="1">
      <c r="A6" s="7" t="n">
        <v>1234</v>
      </c>
      <c r="B6" s="7" t="n">
        <v>3</v>
      </c>
      <c r="C6" s="14" t="n">
        <v>0</v>
      </c>
      <c r="AA6">
        <f>ROUNDUP(A6*B6,0)</f>
        <v/>
      </c>
      <c r="AB6">
        <f>AND(_xlfn.ISFORMULA(C6),IFERROR(ROUND(C6,4)=ROUND(AA6,4),EXACT(C6,AA6)))</f>
        <v/>
      </c>
    </row>
    <row r="7" ht="24" customHeight="1">
      <c r="A7" s="7" t="n">
        <v>15.5</v>
      </c>
      <c r="B7" s="7" t="n">
        <v>7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ROUNDUP(A7*B7,0)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ROUNDUP(값, 0)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금액</t>
        </is>
      </c>
      <c r="B1" s="12" t="inlineStr">
        <is>
          <t>할인율</t>
        </is>
      </c>
      <c r="C1" s="12" t="inlineStr">
        <is>
          <t>할인액</t>
        </is>
      </c>
      <c r="H1" s="13" t="inlineStr">
        <is>
          <t>4번 · 내림 처리</t>
        </is>
      </c>
    </row>
    <row r="2" ht="22" customHeight="1">
      <c r="A2" s="7" t="n">
        <v>17850</v>
      </c>
      <c r="B2" s="7" t="n">
        <v>0.15</v>
      </c>
      <c r="C2" s="14" t="n">
        <v>0</v>
      </c>
      <c r="H2" s="15" t="inlineStr">
        <is>
          <t>금액[A2:A7]×할인율[B2:B7]을 계산해 십의 자리까지 내림하여 [C2:C7]에 표시하시오. (예: 2677.5 → 2670)</t>
        </is>
      </c>
      <c r="AA2">
        <f>ROUNDDOWN(A2*B2,-1)</f>
        <v/>
      </c>
      <c r="AB2">
        <f>AND(_xlfn.ISFORMULA(C2),IFERROR(ROUND(C2,4)=ROUND(AA2,4),EXACT(C2,AA2)))</f>
        <v/>
      </c>
    </row>
    <row r="3" ht="22" customHeight="1">
      <c r="A3" s="7" t="n">
        <v>20000</v>
      </c>
      <c r="B3" s="7" t="n">
        <v>0.1</v>
      </c>
      <c r="C3" s="14" t="n">
        <v>0</v>
      </c>
      <c r="AA3">
        <f>ROUNDDOWN(A3*B3,-1)</f>
        <v/>
      </c>
      <c r="AB3">
        <f>AND(_xlfn.ISFORMULA(C3),IFERROR(ROUND(C3,4)=ROUND(AA3,4),EXACT(C3,AA3)))</f>
        <v/>
      </c>
    </row>
    <row r="4" ht="22" customHeight="1">
      <c r="A4" s="7" t="n">
        <v>12345</v>
      </c>
      <c r="B4" s="7" t="n">
        <v>0.25</v>
      </c>
      <c r="C4" s="14" t="n">
        <v>0</v>
      </c>
      <c r="AA4">
        <f>ROUNDDOWN(A4*B4,-1)</f>
        <v/>
      </c>
      <c r="AB4">
        <f>AND(_xlfn.ISFORMULA(C4),IFERROR(ROUND(C4,4)=ROUND(AA4,4),EXACT(C4,AA4)))</f>
        <v/>
      </c>
    </row>
    <row r="5" ht="20" customHeight="1">
      <c r="A5" s="7" t="n">
        <v>9999</v>
      </c>
      <c r="B5" s="7" t="n">
        <v>0.05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ROUNDDOWN(A5*B5,-1)</f>
        <v/>
      </c>
      <c r="AB5">
        <f>AND(_xlfn.ISFORMULA(C5),IFERROR(ROUND(C5,4)=ROUND(AA5,4),EXACT(C5,AA5)))</f>
        <v/>
      </c>
    </row>
    <row r="6" ht="20" customHeight="1">
      <c r="A6" s="7" t="n">
        <v>48760</v>
      </c>
      <c r="B6" s="7" t="n">
        <v>0.3</v>
      </c>
      <c r="C6" s="14" t="n">
        <v>0</v>
      </c>
      <c r="AA6">
        <f>ROUNDDOWN(A6*B6,-1)</f>
        <v/>
      </c>
      <c r="AB6">
        <f>AND(_xlfn.ISFORMULA(C6),IFERROR(ROUND(C6,4)=ROUND(AA6,4),EXACT(C6,AA6)))</f>
        <v/>
      </c>
    </row>
    <row r="7" ht="24" customHeight="1">
      <c r="A7" s="7" t="n">
        <v>3000</v>
      </c>
      <c r="B7" s="7" t="n">
        <v>0.07000000000000001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ROUNDDOWN(A7*B7,-1)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ROUNDDOWN(값, -1)은 일의 자리를 버립니다.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총개수</t>
        </is>
      </c>
      <c r="B1" s="12" t="inlineStr">
        <is>
          <t>한상자</t>
        </is>
      </c>
      <c r="C1" s="12" t="inlineStr">
        <is>
          <t>상자수</t>
        </is>
      </c>
      <c r="H1" s="13" t="inlineStr">
        <is>
          <t>5번 · 몫 구하기</t>
        </is>
      </c>
    </row>
    <row r="2" ht="22" customHeight="1">
      <c r="A2" s="7" t="n">
        <v>47</v>
      </c>
      <c r="B2" s="7" t="n">
        <v>6</v>
      </c>
      <c r="C2" s="14" t="n">
        <v>0</v>
      </c>
      <c r="H2" s="15" t="inlineStr">
        <is>
          <t>총개수[A2:A7]를 한상자[B2:B7]로 나눈 몫(소수점 버림)을 [C2:C7]에 구하시오.</t>
        </is>
      </c>
      <c r="AA2">
        <f>INT(A2/B2)</f>
        <v/>
      </c>
      <c r="AB2">
        <f>AND(_xlfn.ISFORMULA(C2),IFERROR(ROUND(C2,4)=ROUND(AA2,4),EXACT(C2,AA2)))</f>
        <v/>
      </c>
    </row>
    <row r="3" ht="22" customHeight="1">
      <c r="A3" s="7" t="n">
        <v>48</v>
      </c>
      <c r="B3" s="7" t="n">
        <v>6</v>
      </c>
      <c r="C3" s="14" t="n">
        <v>0</v>
      </c>
      <c r="AA3">
        <f>INT(A3/B3)</f>
        <v/>
      </c>
      <c r="AB3">
        <f>AND(_xlfn.ISFORMULA(C3),IFERROR(ROUND(C3,4)=ROUND(AA3,4),EXACT(C3,AA3)))</f>
        <v/>
      </c>
    </row>
    <row r="4" ht="22" customHeight="1">
      <c r="A4" s="7" t="n">
        <v>5</v>
      </c>
      <c r="B4" s="7" t="n">
        <v>6</v>
      </c>
      <c r="C4" s="14" t="n">
        <v>0</v>
      </c>
      <c r="AA4">
        <f>INT(A4/B4)</f>
        <v/>
      </c>
      <c r="AB4">
        <f>AND(_xlfn.ISFORMULA(C4),IFERROR(ROUND(C4,4)=ROUND(AA4,4),EXACT(C4,AA4)))</f>
        <v/>
      </c>
    </row>
    <row r="5" ht="20" customHeight="1">
      <c r="A5" s="7" t="n">
        <v>100</v>
      </c>
      <c r="B5" s="7" t="n">
        <v>12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INT(A5/B5)</f>
        <v/>
      </c>
      <c r="AB5">
        <f>AND(_xlfn.ISFORMULA(C5),IFERROR(ROUND(C5,4)=ROUND(AA5,4),EXACT(C5,AA5)))</f>
        <v/>
      </c>
    </row>
    <row r="6" ht="20" customHeight="1">
      <c r="A6" s="7" t="n">
        <v>73</v>
      </c>
      <c r="B6" s="7" t="n">
        <v>10</v>
      </c>
      <c r="C6" s="14" t="n">
        <v>0</v>
      </c>
      <c r="AA6">
        <f>INT(A6/B6)</f>
        <v/>
      </c>
      <c r="AB6">
        <f>AND(_xlfn.ISFORMULA(C6),IFERROR(ROUND(C6,4)=ROUND(AA6,4),EXACT(C6,AA6)))</f>
        <v/>
      </c>
    </row>
    <row r="7" ht="24" customHeight="1">
      <c r="A7" s="7" t="n">
        <v>36</v>
      </c>
      <c r="B7" s="7" t="n">
        <v>4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INT(A7/B7)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INT(값)은 소수점 아래를 버립니다.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총개수</t>
        </is>
      </c>
      <c r="B1" s="12" t="inlineStr">
        <is>
          <t>한상자</t>
        </is>
      </c>
      <c r="C1" s="12" t="inlineStr">
        <is>
          <t>남는수</t>
        </is>
      </c>
      <c r="H1" s="13" t="inlineStr">
        <is>
          <t>6번 · 나머지 구하기</t>
        </is>
      </c>
    </row>
    <row r="2" ht="22" customHeight="1">
      <c r="A2" s="7" t="n">
        <v>47</v>
      </c>
      <c r="B2" s="7" t="n">
        <v>6</v>
      </c>
      <c r="C2" s="14" t="n">
        <v>0</v>
      </c>
      <c r="H2" s="15" t="inlineStr">
        <is>
          <t>총개수[A2:A7]를 한상자[B2:B7]로 나눈 나머지를 [C2:C7]에 구하시오.</t>
        </is>
      </c>
      <c r="AA2">
        <f>MOD(A2,B2)</f>
        <v/>
      </c>
      <c r="AB2">
        <f>AND(_xlfn.ISFORMULA(C2),IFERROR(ROUND(C2,4)=ROUND(AA2,4),EXACT(C2,AA2)))</f>
        <v/>
      </c>
    </row>
    <row r="3" ht="22" customHeight="1">
      <c r="A3" s="7" t="n">
        <v>48</v>
      </c>
      <c r="B3" s="7" t="n">
        <v>6</v>
      </c>
      <c r="C3" s="14" t="n">
        <v>0</v>
      </c>
      <c r="AA3">
        <f>MOD(A3,B3)</f>
        <v/>
      </c>
      <c r="AB3">
        <f>AND(_xlfn.ISFORMULA(C3),IFERROR(ROUND(C3,4)=ROUND(AA3,4),EXACT(C3,AA3)))</f>
        <v/>
      </c>
    </row>
    <row r="4" ht="22" customHeight="1">
      <c r="A4" s="7" t="n">
        <v>5</v>
      </c>
      <c r="B4" s="7" t="n">
        <v>6</v>
      </c>
      <c r="C4" s="14" t="n">
        <v>0</v>
      </c>
      <c r="AA4">
        <f>MOD(A4,B4)</f>
        <v/>
      </c>
      <c r="AB4">
        <f>AND(_xlfn.ISFORMULA(C4),IFERROR(ROUND(C4,4)=ROUND(AA4,4),EXACT(C4,AA4)))</f>
        <v/>
      </c>
    </row>
    <row r="5" ht="20" customHeight="1">
      <c r="A5" s="7" t="n">
        <v>100</v>
      </c>
      <c r="B5" s="7" t="n">
        <v>12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MOD(A5,B5)</f>
        <v/>
      </c>
      <c r="AB5">
        <f>AND(_xlfn.ISFORMULA(C5),IFERROR(ROUND(C5,4)=ROUND(AA5,4),EXACT(C5,AA5)))</f>
        <v/>
      </c>
    </row>
    <row r="6" ht="20" customHeight="1">
      <c r="A6" s="7" t="n">
        <v>73</v>
      </c>
      <c r="B6" s="7" t="n">
        <v>10</v>
      </c>
      <c r="C6" s="14" t="n">
        <v>0</v>
      </c>
      <c r="AA6">
        <f>MOD(A6,B6)</f>
        <v/>
      </c>
      <c r="AB6">
        <f>AND(_xlfn.ISFORMULA(C6),IFERROR(ROUND(C6,4)=ROUND(AA6,4),EXACT(C6,AA6)))</f>
        <v/>
      </c>
    </row>
    <row r="7" ht="24" customHeight="1">
      <c r="A7" s="7" t="n">
        <v>36</v>
      </c>
      <c r="B7" s="7" t="n">
        <v>4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MOD(A7,B7)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MOD(나눠지는 수, 나누는 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목표</t>
        </is>
      </c>
      <c r="B1" s="12" t="inlineStr">
        <is>
          <t>실적</t>
        </is>
      </c>
      <c r="C1" s="12" t="inlineStr">
        <is>
          <t>차이</t>
        </is>
      </c>
      <c r="H1" s="13" t="inlineStr">
        <is>
          <t>7번 · 차이의 절댓값</t>
        </is>
      </c>
    </row>
    <row r="2" ht="22" customHeight="1">
      <c r="A2" s="7" t="n">
        <v>500</v>
      </c>
      <c r="B2" s="7" t="n">
        <v>620</v>
      </c>
      <c r="C2" s="14" t="n">
        <v>0</v>
      </c>
      <c r="H2" s="15" t="inlineStr">
        <is>
          <t>목표[A2:A7]와 실적[B2:B7]의 차이를 항상 양수로 [C2:C7]에 표시하시오.</t>
        </is>
      </c>
      <c r="AA2">
        <f>ABS(A2-B2)</f>
        <v/>
      </c>
      <c r="AB2">
        <f>AND(_xlfn.ISFORMULA(C2),IFERROR(ROUND(C2,4)=ROUND(AA2,4),EXACT(C2,AA2)))</f>
        <v/>
      </c>
    </row>
    <row r="3" ht="22" customHeight="1">
      <c r="A3" s="7" t="n">
        <v>500</v>
      </c>
      <c r="B3" s="7" t="n">
        <v>480</v>
      </c>
      <c r="C3" s="14" t="n">
        <v>0</v>
      </c>
      <c r="AA3">
        <f>ABS(A3-B3)</f>
        <v/>
      </c>
      <c r="AB3">
        <f>AND(_xlfn.ISFORMULA(C3),IFERROR(ROUND(C3,4)=ROUND(AA3,4),EXACT(C3,AA3)))</f>
        <v/>
      </c>
    </row>
    <row r="4" ht="22" customHeight="1">
      <c r="A4" s="7" t="n">
        <v>300</v>
      </c>
      <c r="B4" s="7" t="n">
        <v>300</v>
      </c>
      <c r="C4" s="14" t="n">
        <v>0</v>
      </c>
      <c r="AA4">
        <f>ABS(A4-B4)</f>
        <v/>
      </c>
      <c r="AB4">
        <f>AND(_xlfn.ISFORMULA(C4),IFERROR(ROUND(C4,4)=ROUND(AA4,4),EXACT(C4,AA4)))</f>
        <v/>
      </c>
    </row>
    <row r="5" ht="20" customHeight="1">
      <c r="A5" s="7" t="n">
        <v>250</v>
      </c>
      <c r="B5" s="7" t="n">
        <v>410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ABS(A5-B5)</f>
        <v/>
      </c>
      <c r="AB5">
        <f>AND(_xlfn.ISFORMULA(C5),IFERROR(ROUND(C5,4)=ROUND(AA5,4),EXACT(C5,AA5)))</f>
        <v/>
      </c>
    </row>
    <row r="6" ht="20" customHeight="1">
      <c r="A6" s="7" t="n">
        <v>800</v>
      </c>
      <c r="B6" s="7" t="n">
        <v>655</v>
      </c>
      <c r="C6" s="14" t="n">
        <v>0</v>
      </c>
      <c r="AA6">
        <f>ABS(A6-B6)</f>
        <v/>
      </c>
      <c r="AB6">
        <f>AND(_xlfn.ISFORMULA(C6),IFERROR(ROUND(C6,4)=ROUND(AA6,4),EXACT(C6,AA6)))</f>
        <v/>
      </c>
    </row>
    <row r="7" ht="24" customHeight="1">
      <c r="A7" s="7" t="n">
        <v>120</v>
      </c>
      <c r="B7" s="7" t="n">
        <v>95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ABS(A7-B7)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ABS(값)은 절댓값입니다.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한변</t>
        </is>
      </c>
      <c r="B1" s="12" t="inlineStr">
        <is>
          <t>넓이</t>
        </is>
      </c>
      <c r="H1" s="13" t="inlineStr">
        <is>
          <t>8번 · 거듭제곱</t>
        </is>
      </c>
    </row>
    <row r="2" ht="22" customHeight="1">
      <c r="A2" s="7" t="n">
        <v>7</v>
      </c>
      <c r="B2" s="14" t="n">
        <v>0</v>
      </c>
      <c r="H2" s="15" t="inlineStr">
        <is>
          <t>한변[A2:A7]의 제곱을 [B2:B7]에 구하시오. (POWER 사용)</t>
        </is>
      </c>
      <c r="AA2">
        <f>POWER(A2,2)</f>
        <v/>
      </c>
      <c r="AB2">
        <f>AND(_xlfn.ISFORMULA(B2),IFERROR(ROUND(B2,4)=ROUND(AA2,4),EXACT(B2,AA2)))</f>
        <v/>
      </c>
    </row>
    <row r="3" ht="22" customHeight="1">
      <c r="A3" s="7" t="n">
        <v>12</v>
      </c>
      <c r="B3" s="14" t="n">
        <v>0</v>
      </c>
      <c r="AA3">
        <f>POWER(A3,2)</f>
        <v/>
      </c>
      <c r="AB3">
        <f>AND(_xlfn.ISFORMULA(B3),IFERROR(ROUND(B3,4)=ROUND(AA3,4),EXACT(B3,AA3)))</f>
        <v/>
      </c>
    </row>
    <row r="4" ht="22" customHeight="1">
      <c r="A4" s="7" t="n">
        <v>1</v>
      </c>
      <c r="B4" s="14" t="n">
        <v>0</v>
      </c>
      <c r="AA4">
        <f>POWER(A4,2)</f>
        <v/>
      </c>
      <c r="AB4">
        <f>AND(_xlfn.ISFORMULA(B4),IFERROR(ROUND(B4,4)=ROUND(AA4,4),EXACT(B4,AA4)))</f>
        <v/>
      </c>
    </row>
    <row r="5" ht="20" customHeight="1">
      <c r="A5" s="7" t="n">
        <v>0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POWER(A5,2)</f>
        <v/>
      </c>
      <c r="AB5">
        <f>AND(_xlfn.ISFORMULA(B5),IFERROR(ROUND(B5,4)=ROUND(AA5,4),EXACT(B5,AA5)))</f>
        <v/>
      </c>
    </row>
    <row r="6" ht="20" customHeight="1">
      <c r="A6" s="7" t="n">
        <v>2.5</v>
      </c>
      <c r="B6" s="14" t="n">
        <v>0</v>
      </c>
      <c r="AA6">
        <f>POWER(A6,2)</f>
        <v/>
      </c>
      <c r="AB6">
        <f>AND(_xlfn.ISFORMULA(B6),IFERROR(ROUND(B6,4)=ROUND(AA6,4),EXACT(B6,AA6)))</f>
        <v/>
      </c>
    </row>
    <row r="7" ht="24" customHeight="1">
      <c r="A7" s="7" t="n">
        <v>30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POWER(A7,2)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POWER(밑, 지수). A2^2 도 같은 결과입니다.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가로</t>
        </is>
      </c>
      <c r="B1" s="12" t="inlineStr">
        <is>
          <t>세로</t>
        </is>
      </c>
      <c r="C1" s="12" t="inlineStr">
        <is>
          <t>높이</t>
        </is>
      </c>
      <c r="D1" s="12" t="inlineStr">
        <is>
          <t>부피</t>
        </is>
      </c>
      <c r="H1" s="13" t="inlineStr">
        <is>
          <t>9번 · 곱 구하기</t>
        </is>
      </c>
    </row>
    <row r="2" ht="22" customHeight="1">
      <c r="A2" s="7" t="n">
        <v>3</v>
      </c>
      <c r="B2" s="7" t="n">
        <v>4</v>
      </c>
      <c r="C2" s="7" t="n">
        <v>5</v>
      </c>
      <c r="D2" s="14" t="n">
        <v>0</v>
      </c>
      <c r="H2" s="15" t="inlineStr">
        <is>
          <t>가로·세로·높이[A2:C7]를 모두 곱한 값을 [D2:D7]에 구하시오.</t>
        </is>
      </c>
      <c r="AA2">
        <f>PRODUCT(A2:C2)</f>
        <v/>
      </c>
      <c r="AB2">
        <f>AND(_xlfn.ISFORMULA(D2),IFERROR(ROUND(D2,4)=ROUND(AA2,4),EXACT(D2,AA2)))</f>
        <v/>
      </c>
    </row>
    <row r="3" ht="22" customHeight="1">
      <c r="A3" s="7" t="n">
        <v>2</v>
      </c>
      <c r="B3" s="7" t="n">
        <v>2</v>
      </c>
      <c r="C3" s="7" t="n">
        <v>2</v>
      </c>
      <c r="D3" s="14" t="n">
        <v>0</v>
      </c>
      <c r="AA3">
        <f>PRODUCT(A3:C3)</f>
        <v/>
      </c>
      <c r="AB3">
        <f>AND(_xlfn.ISFORMULA(D3),IFERROR(ROUND(D3,4)=ROUND(AA3,4),EXACT(D3,AA3)))</f>
        <v/>
      </c>
    </row>
    <row r="4" ht="22" customHeight="1">
      <c r="A4" s="7" t="n">
        <v>10</v>
      </c>
      <c r="B4" s="7" t="n">
        <v>5</v>
      </c>
      <c r="C4" s="7" t="n">
        <v>1</v>
      </c>
      <c r="D4" s="14" t="n">
        <v>0</v>
      </c>
      <c r="AA4">
        <f>PRODUCT(A4:C4)</f>
        <v/>
      </c>
      <c r="AB4">
        <f>AND(_xlfn.ISFORMULA(D4),IFERROR(ROUND(D4,4)=ROUND(AA4,4),EXACT(D4,AA4)))</f>
        <v/>
      </c>
    </row>
    <row r="5" ht="20" customHeight="1">
      <c r="A5" s="7" t="n">
        <v>1.5</v>
      </c>
      <c r="B5" s="7" t="n">
        <v>4</v>
      </c>
      <c r="C5" s="7" t="n">
        <v>3</v>
      </c>
      <c r="D5" s="14" t="n">
        <v>0</v>
      </c>
      <c r="H5" s="16" t="inlineStr">
        <is>
          <t>① D2 의 0 을 지우고 수식을 넣습니다.
② 채우기 핸들(칸 오른쪽 아래 ■)을 D7 까지 끌어내립니다.</t>
        </is>
      </c>
      <c r="AA5">
        <f>PRODUCT(A5:C5)</f>
        <v/>
      </c>
      <c r="AB5">
        <f>AND(_xlfn.ISFORMULA(D5),IFERROR(ROUND(D5,4)=ROUND(AA5,4),EXACT(D5,AA5)))</f>
        <v/>
      </c>
    </row>
    <row r="6" ht="20" customHeight="1">
      <c r="A6" s="7" t="n">
        <v>7</v>
      </c>
      <c r="B6" s="7" t="n">
        <v>0</v>
      </c>
      <c r="C6" s="7" t="n">
        <v>9</v>
      </c>
      <c r="D6" s="14" t="n">
        <v>0</v>
      </c>
      <c r="AA6">
        <f>PRODUCT(A6:C6)</f>
        <v/>
      </c>
      <c r="AB6">
        <f>AND(_xlfn.ISFORMULA(D6),IFERROR(ROUND(D6,4)=ROUND(AA6,4),EXACT(D6,AA6)))</f>
        <v/>
      </c>
    </row>
    <row r="7" ht="24" customHeight="1">
      <c r="A7" s="7" t="n">
        <v>12</v>
      </c>
      <c r="B7" s="7" t="n">
        <v>8</v>
      </c>
      <c r="C7" s="7" t="n">
        <v>6</v>
      </c>
      <c r="D7" s="14" t="n">
        <v>0</v>
      </c>
      <c r="H7" s="12" t="inlineStr">
        <is>
          <t>채점</t>
        </is>
      </c>
      <c r="I7" s="17">
        <f>IF(NOT(_xlfn.ISFORMULA(D2)),"↖ 0 지우고 수식",IF(COUNTIF(AB2:AB7,TRUE)=6,"✔ 맞음","✘ 다시 ("&amp;COUNTIF(AB2:AB7,TRUE)&amp;" / 6칸)"))</f>
        <v/>
      </c>
      <c r="J7" s="18" t="n"/>
      <c r="K7" s="18" t="n"/>
      <c r="AA7">
        <f>PRODUCT(A7:C7)</f>
        <v/>
      </c>
      <c r="AB7">
        <f>AND(_xlfn.ISFORMULA(D7),IFERROR(ROUND(D7,4)=ROUND(AA7,4),EXACT(D7,AA7)))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PRODUCT(범위)는 범위의 모든 값을 곱합니다.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정가</t>
        </is>
      </c>
      <c r="B1" s="12" t="inlineStr">
        <is>
          <t>표시가</t>
        </is>
      </c>
      <c r="H1" s="13" t="inlineStr">
        <is>
          <t>10번 · 십의 자리까지 내림</t>
        </is>
      </c>
    </row>
    <row r="2" ht="22" customHeight="1">
      <c r="A2" s="7" t="n">
        <v>17850</v>
      </c>
      <c r="B2" s="14" t="n">
        <v>0</v>
      </c>
      <c r="H2" s="15" t="inlineStr">
        <is>
          <t>정가[A2:A7]를 십의 자리까지 내림해 [B2:B7]에 표시하시오. (예: 17850 → 17800)</t>
        </is>
      </c>
      <c r="AA2">
        <f>ROUNDDOWN(A2,-2)</f>
        <v/>
      </c>
      <c r="AB2">
        <f>AND(_xlfn.ISFORMULA(B2),IFERROR(ROUND(B2,4)=ROUND(AA2,4),EXACT(B2,AA2)))</f>
        <v/>
      </c>
    </row>
    <row r="3" ht="22" customHeight="1">
      <c r="A3" s="7" t="n">
        <v>17899</v>
      </c>
      <c r="B3" s="14" t="n">
        <v>0</v>
      </c>
      <c r="AA3">
        <f>ROUNDDOWN(A3,-2)</f>
        <v/>
      </c>
      <c r="AB3">
        <f>AND(_xlfn.ISFORMULA(B3),IFERROR(ROUND(B3,4)=ROUND(AA3,4),EXACT(B3,AA3)))</f>
        <v/>
      </c>
    </row>
    <row r="4" ht="22" customHeight="1">
      <c r="A4" s="7" t="n">
        <v>5</v>
      </c>
      <c r="B4" s="14" t="n">
        <v>0</v>
      </c>
      <c r="AA4">
        <f>ROUNDDOWN(A4,-2)</f>
        <v/>
      </c>
      <c r="AB4">
        <f>AND(_xlfn.ISFORMULA(B4),IFERROR(ROUND(B4,4)=ROUND(AA4,4),EXACT(B4,AA4)))</f>
        <v/>
      </c>
    </row>
    <row r="5" ht="20" customHeight="1">
      <c r="A5" s="7" t="n">
        <v>1234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ROUNDDOWN(A5,-2)</f>
        <v/>
      </c>
      <c r="AB5">
        <f>AND(_xlfn.ISFORMULA(B5),IFERROR(ROUND(B5,4)=ROUND(AA5,4),EXACT(B5,AA5)))</f>
        <v/>
      </c>
    </row>
    <row r="6" ht="20" customHeight="1">
      <c r="A6" s="7" t="n">
        <v>98760</v>
      </c>
      <c r="B6" s="14" t="n">
        <v>0</v>
      </c>
      <c r="AA6">
        <f>ROUNDDOWN(A6,-2)</f>
        <v/>
      </c>
      <c r="AB6">
        <f>AND(_xlfn.ISFORMULA(B6),IFERROR(ROUND(B6,4)=ROUND(AA6,4),EXACT(B6,AA6)))</f>
        <v/>
      </c>
    </row>
    <row r="7" ht="24" customHeight="1">
      <c r="A7" s="7" t="n">
        <v>100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ROUNDDOWN(A7,-2)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자릿수 -2는 백의 자리 아래를 버립니다.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번호</t>
        </is>
      </c>
      <c r="B1" s="12" t="inlineStr">
        <is>
          <t>조</t>
        </is>
      </c>
      <c r="H1" s="13" t="inlineStr">
        <is>
          <t>11번 · 나눈 나머지로 판정</t>
        </is>
      </c>
    </row>
    <row r="2" ht="22" customHeight="1">
      <c r="A2" s="7" t="n">
        <v>17</v>
      </c>
      <c r="B2" s="14" t="n">
        <v>0</v>
      </c>
      <c r="H2" s="15" t="inlineStr">
        <is>
          <t>번호[A2:A7]를 3으로 나눈 나머지를 [B2:B7]에 구하시오.</t>
        </is>
      </c>
      <c r="AA2">
        <f>MOD(A2,3)</f>
        <v/>
      </c>
      <c r="AB2">
        <f>AND(_xlfn.ISFORMULA(B2),IFERROR(ROUND(B2,4)=ROUND(AA2,4),EXACT(B2,AA2)))</f>
        <v/>
      </c>
    </row>
    <row r="3" ht="22" customHeight="1">
      <c r="A3" s="7" t="n">
        <v>3</v>
      </c>
      <c r="B3" s="14" t="n">
        <v>0</v>
      </c>
      <c r="AA3">
        <f>MOD(A3,3)</f>
        <v/>
      </c>
      <c r="AB3">
        <f>AND(_xlfn.ISFORMULA(B3),IFERROR(ROUND(B3,4)=ROUND(AA3,4),EXACT(B3,AA3)))</f>
        <v/>
      </c>
    </row>
    <row r="4" ht="22" customHeight="1">
      <c r="A4" s="7" t="n">
        <v>20</v>
      </c>
      <c r="B4" s="14" t="n">
        <v>0</v>
      </c>
      <c r="AA4">
        <f>MOD(A4,3)</f>
        <v/>
      </c>
      <c r="AB4">
        <f>AND(_xlfn.ISFORMULA(B4),IFERROR(ROUND(B4,4)=ROUND(AA4,4),EXACT(B4,AA4)))</f>
        <v/>
      </c>
    </row>
    <row r="5" ht="20" customHeight="1">
      <c r="A5" s="7" t="n">
        <v>1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MOD(A5,3)</f>
        <v/>
      </c>
      <c r="AB5">
        <f>AND(_xlfn.ISFORMULA(B5),IFERROR(ROUND(B5,4)=ROUND(AA5,4),EXACT(B5,AA5)))</f>
        <v/>
      </c>
    </row>
    <row r="6" ht="20" customHeight="1">
      <c r="A6" s="7" t="n">
        <v>30</v>
      </c>
      <c r="B6" s="14" t="n">
        <v>0</v>
      </c>
      <c r="AA6">
        <f>MOD(A6,3)</f>
        <v/>
      </c>
      <c r="AB6">
        <f>AND(_xlfn.ISFORMULA(B6),IFERROR(ROUND(B6,4)=ROUND(AA6,4),EXACT(B6,AA6)))</f>
        <v/>
      </c>
    </row>
    <row r="7" ht="24" customHeight="1">
      <c r="A7" s="7" t="n">
        <v>11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MOD(A7,3)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MOD(수, 나누는 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한 변</t>
        </is>
      </c>
      <c r="B1" s="12" t="inlineStr">
        <is>
          <t>정사각형 넓이</t>
        </is>
      </c>
      <c r="H1" s="13" t="inlineStr">
        <is>
          <t>12번 · 거듭제곱으로 넓이</t>
        </is>
      </c>
    </row>
    <row r="2" ht="22" customHeight="1">
      <c r="A2" s="7" t="n">
        <v>7</v>
      </c>
      <c r="B2" s="14" t="n">
        <v>0</v>
      </c>
      <c r="H2" s="15" t="inlineStr">
        <is>
          <t>한 변[A2:A7]의 길이로 만든 정사각형의 넓이를 [B2:B7]에 구하시오. (POWER 사용)</t>
        </is>
      </c>
      <c r="AA2">
        <f>POWER(A2,2)</f>
        <v/>
      </c>
      <c r="AB2">
        <f>AND(_xlfn.ISFORMULA(B2),IFERROR(ROUND(B2,4)=ROUND(AA2,4),EXACT(B2,AA2)))</f>
        <v/>
      </c>
    </row>
    <row r="3" ht="22" customHeight="1">
      <c r="A3" s="7" t="n">
        <v>12</v>
      </c>
      <c r="B3" s="14" t="n">
        <v>0</v>
      </c>
      <c r="AA3">
        <f>POWER(A3,2)</f>
        <v/>
      </c>
      <c r="AB3">
        <f>AND(_xlfn.ISFORMULA(B3),IFERROR(ROUND(B3,4)=ROUND(AA3,4),EXACT(B3,AA3)))</f>
        <v/>
      </c>
    </row>
    <row r="4" ht="22" customHeight="1">
      <c r="A4" s="7" t="n">
        <v>3</v>
      </c>
      <c r="B4" s="14" t="n">
        <v>0</v>
      </c>
      <c r="AA4">
        <f>POWER(A4,2)</f>
        <v/>
      </c>
      <c r="AB4">
        <f>AND(_xlfn.ISFORMULA(B4),IFERROR(ROUND(B4,4)=ROUND(AA4,4),EXACT(B4,AA4)))</f>
        <v/>
      </c>
    </row>
    <row r="5" ht="20" customHeight="1">
      <c r="A5" s="7" t="n">
        <v>0.5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POWER(A5,2)</f>
        <v/>
      </c>
      <c r="AB5">
        <f>AND(_xlfn.ISFORMULA(B5),IFERROR(ROUND(B5,4)=ROUND(AA5,4),EXACT(B5,AA5)))</f>
        <v/>
      </c>
    </row>
    <row r="6" ht="20" customHeight="1">
      <c r="A6" s="7" t="n">
        <v>20</v>
      </c>
      <c r="B6" s="14" t="n">
        <v>0</v>
      </c>
      <c r="AA6">
        <f>POWER(A6,2)</f>
        <v/>
      </c>
      <c r="AB6">
        <f>AND(_xlfn.ISFORMULA(B6),IFERROR(ROUND(B6,4)=ROUND(AA6,4),EXACT(B6,AA6)))</f>
        <v/>
      </c>
    </row>
    <row r="7" ht="24" customHeight="1">
      <c r="A7" s="7" t="n">
        <v>1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POWER(A7,2)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POWER(밑, 지수) · =A2^2 와 같습니다.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설비</t>
        </is>
      </c>
      <c r="B1" s="12" t="inlineStr">
        <is>
          <t>고장 건수</t>
        </is>
      </c>
      <c r="C1" s="12" t="inlineStr">
        <is>
          <t>비율(%)</t>
        </is>
      </c>
      <c r="H1" s="13" t="inlineStr">
        <is>
          <t>13번 · 전체에서 차지하는 비율(%)</t>
        </is>
      </c>
    </row>
    <row r="2" ht="22" customHeight="1">
      <c r="A2" s="7" t="inlineStr">
        <is>
          <t>프레스</t>
        </is>
      </c>
      <c r="B2" s="7" t="n">
        <v>12</v>
      </c>
      <c r="C2" s="14" t="n">
        <v>0</v>
      </c>
      <c r="H2" s="15" t="inlineStr">
        <is>
          <t>고장 건수[B2:B6]가 전체 고장 건수에서 차지하는 비율을 백분율 숫자로 구하되 소수 첫째 자리까지 반올림하여 [C2:C6]에 표시하시오. (예: 30.0)</t>
        </is>
      </c>
      <c r="AA2">
        <f>ROUND(B2/SUM($B$2:$B$6)*100,1)</f>
        <v/>
      </c>
      <c r="AB2">
        <f>AND(_xlfn.ISFORMULA(C2),IFERROR(ROUND(C2,4)=ROUND(AA2,4),EXACT(C2,AA2)))</f>
        <v/>
      </c>
    </row>
    <row r="3" ht="22" customHeight="1">
      <c r="A3" s="7" t="inlineStr">
        <is>
          <t>용접기</t>
        </is>
      </c>
      <c r="B3" s="7" t="n">
        <v>7</v>
      </c>
      <c r="C3" s="14" t="n">
        <v>0</v>
      </c>
      <c r="AA3">
        <f>ROUND(B3/SUM($B$2:$B$6)*100,1)</f>
        <v/>
      </c>
      <c r="AB3">
        <f>AND(_xlfn.ISFORMULA(C3),IFERROR(ROUND(C3,4)=ROUND(AA3,4),EXACT(C3,AA3)))</f>
        <v/>
      </c>
    </row>
    <row r="4" ht="22" customHeight="1">
      <c r="A4" s="7" t="inlineStr">
        <is>
          <t>컨베이어</t>
        </is>
      </c>
      <c r="B4" s="7" t="n">
        <v>3</v>
      </c>
      <c r="C4" s="14" t="n">
        <v>0</v>
      </c>
      <c r="AA4">
        <f>ROUND(B4/SUM($B$2:$B$6)*100,1)</f>
        <v/>
      </c>
      <c r="AB4">
        <f>AND(_xlfn.ISFORMULA(C4),IFERROR(ROUND(C4,4)=ROUND(AA4,4),EXACT(C4,AA4)))</f>
        <v/>
      </c>
    </row>
    <row r="5" ht="20" customHeight="1">
      <c r="A5" s="7" t="inlineStr">
        <is>
          <t>로봇</t>
        </is>
      </c>
      <c r="B5" s="7" t="n">
        <v>5</v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ROUND(B5/SUM($B$2:$B$6)*100,1)</f>
        <v/>
      </c>
      <c r="AB5">
        <f>AND(_xlfn.ISFORMULA(C5),IFERROR(ROUND(C5,4)=ROUND(AA5,4),EXACT(C5,AA5)))</f>
        <v/>
      </c>
    </row>
    <row r="6" ht="20" customHeight="1">
      <c r="A6" s="7" t="inlineStr">
        <is>
          <t>CNC</t>
        </is>
      </c>
      <c r="B6" s="7" t="n">
        <v>13</v>
      </c>
      <c r="C6" s="14" t="n">
        <v>0</v>
      </c>
      <c r="AA6">
        <f>ROUND(B6/SUM($B$2:$B$6)*100,1)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자기 건수 ÷ 전체 합계 × 100. 전체 합계 범위는 모두에게 같아야 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정수로 반올림</t>
        </is>
      </c>
      <c r="C5" s="8" t="inlineStr">
        <is>
          <t>B2:B7</t>
        </is>
      </c>
      <c r="D5" s="22" t="inlineStr">
        <is>
          <t>=ROUND(A2,0)</t>
        </is>
      </c>
      <c r="E5" s="23" t="inlineStr">
        <is>
          <t>자릿수 0은 정수 자리까지 반올림합니다.</t>
        </is>
      </c>
    </row>
    <row r="6" ht="30" customHeight="1">
      <c r="A6" s="24" t="n">
        <v>2</v>
      </c>
      <c r="B6" s="25" t="inlineStr">
        <is>
          <t>백의 자리에서 반올림</t>
        </is>
      </c>
      <c r="C6" s="25" t="inlineStr">
        <is>
          <t>B2:B7</t>
        </is>
      </c>
      <c r="D6" s="26" t="inlineStr">
        <is>
          <t>=ROUND(A2,-2)</t>
        </is>
      </c>
      <c r="E6" s="27" t="inlineStr">
        <is>
          <t>자릿수를 음수로 주면 정수 왼쪽 자리에서 처리합니다.</t>
        </is>
      </c>
    </row>
    <row r="7" ht="30" customHeight="1">
      <c r="A7" s="7" t="n">
        <v>3</v>
      </c>
      <c r="B7" s="8" t="inlineStr">
        <is>
          <t>올림 처리</t>
        </is>
      </c>
      <c r="C7" s="8" t="inlineStr">
        <is>
          <t>C2:C7</t>
        </is>
      </c>
      <c r="D7" s="22" t="inlineStr">
        <is>
          <t>=ROUNDUP(A2*B2,0)</t>
        </is>
      </c>
      <c r="E7" s="23" t="inlineStr">
        <is>
          <t>ROUNDUP(값, 0)</t>
        </is>
      </c>
    </row>
    <row r="8" ht="30" customHeight="1">
      <c r="A8" s="24" t="n">
        <v>4</v>
      </c>
      <c r="B8" s="25" t="inlineStr">
        <is>
          <t>내림 처리</t>
        </is>
      </c>
      <c r="C8" s="25" t="inlineStr">
        <is>
          <t>C2:C7</t>
        </is>
      </c>
      <c r="D8" s="26" t="inlineStr">
        <is>
          <t>=ROUNDDOWN(A2*B2,-1)</t>
        </is>
      </c>
      <c r="E8" s="27" t="inlineStr">
        <is>
          <t>ROUNDDOWN(값, -1)은 일의 자리를 버립니다.</t>
        </is>
      </c>
    </row>
    <row r="9" ht="30" customHeight="1">
      <c r="A9" s="7" t="n">
        <v>5</v>
      </c>
      <c r="B9" s="8" t="inlineStr">
        <is>
          <t>몫 구하기</t>
        </is>
      </c>
      <c r="C9" s="8" t="inlineStr">
        <is>
          <t>C2:C7</t>
        </is>
      </c>
      <c r="D9" s="22" t="inlineStr">
        <is>
          <t>=INT(A2/B2)</t>
        </is>
      </c>
      <c r="E9" s="23" t="inlineStr">
        <is>
          <t>INT(값)은 소수점 아래를 버립니다.</t>
        </is>
      </c>
    </row>
    <row r="10" ht="30" customHeight="1">
      <c r="A10" s="24" t="n">
        <v>6</v>
      </c>
      <c r="B10" s="25" t="inlineStr">
        <is>
          <t>나머지 구하기</t>
        </is>
      </c>
      <c r="C10" s="25" t="inlineStr">
        <is>
          <t>C2:C7</t>
        </is>
      </c>
      <c r="D10" s="26" t="inlineStr">
        <is>
          <t>=MOD(A2,B2)</t>
        </is>
      </c>
      <c r="E10" s="27" t="inlineStr">
        <is>
          <t>MOD(나눠지는 수, 나누는 수)</t>
        </is>
      </c>
    </row>
    <row r="11" ht="30" customHeight="1">
      <c r="A11" s="7" t="n">
        <v>7</v>
      </c>
      <c r="B11" s="8" t="inlineStr">
        <is>
          <t>차이의 절댓값</t>
        </is>
      </c>
      <c r="C11" s="8" t="inlineStr">
        <is>
          <t>C2:C7</t>
        </is>
      </c>
      <c r="D11" s="22" t="inlineStr">
        <is>
          <t>=ABS(A2-B2)</t>
        </is>
      </c>
      <c r="E11" s="23" t="inlineStr">
        <is>
          <t>ABS(값)은 절댓값입니다.</t>
        </is>
      </c>
    </row>
    <row r="12" ht="30" customHeight="1">
      <c r="A12" s="24" t="n">
        <v>8</v>
      </c>
      <c r="B12" s="25" t="inlineStr">
        <is>
          <t>거듭제곱</t>
        </is>
      </c>
      <c r="C12" s="25" t="inlineStr">
        <is>
          <t>B2:B7</t>
        </is>
      </c>
      <c r="D12" s="26" t="inlineStr">
        <is>
          <t>=POWER(A2,2)</t>
        </is>
      </c>
      <c r="E12" s="27" t="inlineStr">
        <is>
          <t>POWER(밑, 지수). A2^2 도 같은 결과입니다.</t>
        </is>
      </c>
    </row>
    <row r="13" ht="30" customHeight="1">
      <c r="A13" s="7" t="n">
        <v>9</v>
      </c>
      <c r="B13" s="8" t="inlineStr">
        <is>
          <t>곱 구하기</t>
        </is>
      </c>
      <c r="C13" s="8" t="inlineStr">
        <is>
          <t>D2:D7</t>
        </is>
      </c>
      <c r="D13" s="22" t="inlineStr">
        <is>
          <t>=PRODUCT(A2:C2)</t>
        </is>
      </c>
      <c r="E13" s="23" t="inlineStr">
        <is>
          <t>PRODUCT(범위)는 범위의 모든 값을 곱합니다.</t>
        </is>
      </c>
    </row>
    <row r="14" ht="30" customHeight="1">
      <c r="A14" s="24" t="n">
        <v>10</v>
      </c>
      <c r="B14" s="25" t="inlineStr">
        <is>
          <t>십의 자리까지 내림</t>
        </is>
      </c>
      <c r="C14" s="25" t="inlineStr">
        <is>
          <t>B2:B7</t>
        </is>
      </c>
      <c r="D14" s="26" t="inlineStr">
        <is>
          <t>=ROUNDDOWN(A2,-2)</t>
        </is>
      </c>
      <c r="E14" s="27" t="inlineStr">
        <is>
          <t>자릿수 -2는 백의 자리 아래를 버립니다.</t>
        </is>
      </c>
    </row>
    <row r="15" ht="30" customHeight="1">
      <c r="A15" s="7" t="n">
        <v>11</v>
      </c>
      <c r="B15" s="8" t="inlineStr">
        <is>
          <t>나눈 나머지로 판정</t>
        </is>
      </c>
      <c r="C15" s="8" t="inlineStr">
        <is>
          <t>B2:B7</t>
        </is>
      </c>
      <c r="D15" s="22" t="inlineStr">
        <is>
          <t>=MOD(A2,3)</t>
        </is>
      </c>
      <c r="E15" s="23" t="inlineStr">
        <is>
          <t>MOD(수, 나누는 수)</t>
        </is>
      </c>
    </row>
    <row r="16" ht="30" customHeight="1">
      <c r="A16" s="24" t="n">
        <v>12</v>
      </c>
      <c r="B16" s="25" t="inlineStr">
        <is>
          <t>거듭제곱으로 넓이</t>
        </is>
      </c>
      <c r="C16" s="25" t="inlineStr">
        <is>
          <t>B2:B7</t>
        </is>
      </c>
      <c r="D16" s="26" t="inlineStr">
        <is>
          <t>=POWER(A2,2)</t>
        </is>
      </c>
      <c r="E16" s="27" t="inlineStr">
        <is>
          <t>POWER(밑, 지수) · =A2^2 와 같습니다.</t>
        </is>
      </c>
    </row>
    <row r="17" ht="30" customHeight="1">
      <c r="A17" s="7" t="n">
        <v>13</v>
      </c>
      <c r="B17" s="8" t="inlineStr">
        <is>
          <t>전체에서 차지하는 비율(%)</t>
        </is>
      </c>
      <c r="C17" s="8" t="inlineStr">
        <is>
          <t>C2:C6</t>
        </is>
      </c>
      <c r="D17" s="22" t="inlineStr">
        <is>
          <t>=ROUND(B2/SUM($B$2:$B$6)*100,1)</t>
        </is>
      </c>
      <c r="E17" s="23" t="inlineStr">
        <is>
          <t>자기 건수 ÷ 전체 합계 × 100. 전체 합계 범위는 모두에게 같아야 합니다.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2026-09-28T00:29:28Z</dcterms:created>
  <dcterms:modified xmlns:dcterms="http://purl.org/dc/terms/" xmlns:xsi="http://www.w3.org/2001/XMLSchema-instance" xsi:type="dcterms:W3CDTF">2026-09-28T00:29:28Z</dcterms:modified>
</cp:coreProperties>
</file>