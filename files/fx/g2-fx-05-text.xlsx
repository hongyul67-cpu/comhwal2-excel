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읽어보기" sheetId="1" state="visible" r:id="rId1"/>
    <sheet xmlns:r="http://schemas.openxmlformats.org/officeDocument/2006/relationships" name="채점표" sheetId="2" state="visible" r:id="rId2"/>
    <sheet xmlns:r="http://schemas.openxmlformats.org/officeDocument/2006/relationships" name="01 왼쪽 글자 추출" sheetId="3" state="visible" r:id="rId3"/>
    <sheet xmlns:r="http://schemas.openxmlformats.org/officeDocument/2006/relationships" name="02 오른쪽 글자 추출" sheetId="4" state="visible" r:id="rId4"/>
    <sheet xmlns:r="http://schemas.openxmlformats.org/officeDocument/2006/relationships" name="03 중간 글자 추출" sheetId="5" state="visible" r:id="rId5"/>
    <sheet xmlns:r="http://schemas.openxmlformats.org/officeDocument/2006/relationships" name="04 글자 수 세기" sheetId="6" state="visible" r:id="rId6"/>
    <sheet xmlns:r="http://schemas.openxmlformats.org/officeDocument/2006/relationships" name="05 문자 연결하기" sheetId="7" state="visible" r:id="rId7"/>
    <sheet xmlns:r="http://schemas.openxmlformats.org/officeDocument/2006/relationships" name="06 괄호로 묶어 표시" sheetId="8" state="visible" r:id="rId8"/>
    <sheet xmlns:r="http://schemas.openxmlformats.org/officeDocument/2006/relationships" name="07 대문자로 바꾸기" sheetId="9" state="visible" r:id="rId9"/>
    <sheet xmlns:r="http://schemas.openxmlformats.org/officeDocument/2006/relationships" name="08 첫 글자만 대문자" sheetId="10" state="visible" r:id="rId10"/>
    <sheet xmlns:r="http://schemas.openxmlformats.org/officeDocument/2006/relationships" name="09 일부를 로 가리기" sheetId="11" state="visible" r:id="rId11"/>
    <sheet xmlns:r="http://schemas.openxmlformats.org/officeDocument/2006/relationships" name="10 문자 위치 찾기" sheetId="12" state="visible" r:id="rId12"/>
    <sheet xmlns:r="http://schemas.openxmlformats.org/officeDocument/2006/relationships" name="11 구분자 앞부분만 추출" sheetId="13" state="visible" r:id="rId13"/>
    <sheet xmlns:r="http://schemas.openxmlformats.org/officeDocument/2006/relationships" name="12 불필요한 공백 제거" sheetId="14" state="visible" r:id="rId14"/>
    <sheet xmlns:r="http://schemas.openxmlformats.org/officeDocument/2006/relationships" name="13 학번에서 학년만" sheetId="15" state="visible" r:id="rId15"/>
    <sheet xmlns:r="http://schemas.openxmlformats.org/officeDocument/2006/relationships" name="14 이름 뒤에 님 붙이기" sheetId="16" state="visible" r:id="rId16"/>
    <sheet xmlns:r="http://schemas.openxmlformats.org/officeDocument/2006/relationships" name="15 앞뒤 공백 없애고 대문자로" sheetId="17" state="visible" r:id="rId17"/>
    <sheet xmlns:r="http://schemas.openxmlformats.org/officeDocument/2006/relationships" name="정답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6">
    <font>
      <name val="Calibri"/>
      <family val="2"/>
      <color theme="1"/>
      <sz val="11"/>
      <scheme val="minor"/>
    </font>
    <font>
      <b val="1"/>
      <color rgb="001F3864"/>
      <sz val="16"/>
    </font>
    <font>
      <sz val="11"/>
    </font>
    <font>
      <b val="1"/>
      <color rgb="002E5C8A"/>
      <sz val="12"/>
    </font>
    <font>
      <color rgb="00806000"/>
      <sz val="10"/>
    </font>
    <font>
      <b val="1"/>
      <color rgb="00FFFFFF"/>
    </font>
    <font>
      <i val="1"/>
      <color rgb="00A6A6A6"/>
    </font>
    <font>
      <b val="1"/>
      <color rgb="001F3864"/>
      <sz val="13"/>
    </font>
    <font>
      <b val="1"/>
      <color rgb="00C55A11"/>
      <sz val="10.5"/>
    </font>
    <font>
      <b val="1"/>
      <sz val="12"/>
    </font>
    <font>
      <color rgb="007F7F7F"/>
      <sz val="9.5"/>
    </font>
    <font>
      <color rgb="007F7F7F"/>
      <sz val="10"/>
    </font>
    <font>
      <b val="1"/>
      <color rgb="001F3864"/>
      <sz val="14"/>
    </font>
    <font>
      <b val="1"/>
      <color rgb="00FFFFFF"/>
      <sz val="11"/>
    </font>
    <font>
      <b val="1"/>
    </font>
    <font>
      <name val="Consolas"/>
      <b val="1"/>
      <color rgb="001F4E79"/>
      <sz val="10"/>
    </font>
  </fonts>
  <fills count="7">
    <fill>
      <patternFill/>
    </fill>
    <fill>
      <patternFill patternType="gray125"/>
    </fill>
    <fill>
      <patternFill patternType="solid">
        <fgColor rgb="00FFF8E1"/>
      </patternFill>
    </fill>
    <fill>
      <patternFill patternType="solid">
        <fgColor rgb="002E5C8A"/>
      </patternFill>
    </fill>
    <fill>
      <patternFill patternType="solid">
        <fgColor rgb="00FFF2CC"/>
      </patternFill>
    </fill>
    <fill>
      <patternFill patternType="solid">
        <fgColor rgb="00EEF3FA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0" fontId="3" fillId="0" borderId="0" applyAlignment="1" pivotButton="0" quotePrefix="0" xfId="0">
      <alignment vertical="center" wrapText="1"/>
    </xf>
    <xf numFmtId="0" fontId="4" fillId="2" borderId="0" applyAlignment="1" pivotButton="0" quotePrefix="0" xfId="0">
      <alignment vertical="center" wrapText="1"/>
    </xf>
    <xf numFmtId="0" fontId="12" fillId="0" borderId="0" applyAlignment="1" pivotButton="0" quotePrefix="0" xfId="0">
      <alignment horizontal="left" vertical="center"/>
    </xf>
    <xf numFmtId="0" fontId="13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  <xf numFmtId="0" fontId="14" fillId="0" borderId="1" applyAlignment="1" pivotButton="0" quotePrefix="0" xfId="0">
      <alignment horizontal="center" vertical="center"/>
    </xf>
    <xf numFmtId="0" fontId="14" fillId="0" borderId="0" pivotButton="0" quotePrefix="0" xfId="0"/>
    <xf numFmtId="0" fontId="7" fillId="0" borderId="0" applyAlignment="1" pivotButton="0" quotePrefix="0" xfId="0">
      <alignment horizontal="center"/>
    </xf>
    <xf numFmtId="0" fontId="5" fillId="3" borderId="1" applyAlignment="1" pivotButton="0" quotePrefix="0" xfId="0">
      <alignment horizontal="center" vertical="center"/>
    </xf>
    <xf numFmtId="0" fontId="7" fillId="0" borderId="0" applyAlignment="1" pivotButton="0" quotePrefix="0" xfId="0">
      <alignment vertical="center" wrapText="1"/>
    </xf>
    <xf numFmtId="0" fontId="6" fillId="4" borderId="1" applyAlignment="1" pivotButton="0" quotePrefix="0" xfId="0">
      <alignment horizontal="center" vertical="center"/>
    </xf>
    <xf numFmtId="0" fontId="2" fillId="5" borderId="0" applyAlignment="1" pivotButton="0" quotePrefix="0" xfId="0">
      <alignment vertical="center" wrapText="1"/>
    </xf>
    <xf numFmtId="0" fontId="8" fillId="0" borderId="0" applyAlignment="1" pivotButton="0" quotePrefix="0" xfId="0">
      <alignment vertical="center" wrapText="1"/>
    </xf>
    <xf numFmtId="0" fontId="9" fillId="0" borderId="1" applyAlignment="1" pivotButton="0" quotePrefix="0" xfId="0">
      <alignment horizontal="center" vertical="center"/>
    </xf>
    <xf numFmtId="0" fontId="0" fillId="0" borderId="1" pivotButton="0" quotePrefix="0" xfId="0"/>
    <xf numFmtId="0" fontId="10" fillId="0" borderId="0" applyAlignment="1" pivotButton="0" quotePrefix="0" xfId="0">
      <alignment vertical="center" wrapText="1"/>
    </xf>
    <xf numFmtId="0" fontId="11" fillId="0" borderId="0" applyAlignment="1" pivotButton="0" quotePrefix="0" xfId="0">
      <alignment vertical="center" wrapText="1"/>
    </xf>
    <xf numFmtId="0" fontId="4" fillId="2" borderId="0" applyAlignment="1" pivotButton="0" quotePrefix="0" xfId="0">
      <alignment horizontal="left" vertical="center" wrapText="1"/>
    </xf>
    <xf numFmtId="0" fontId="15" fillId="0" borderId="1" applyAlignment="1" pivotButton="0" quotePrefix="0" xfId="0">
      <alignment vertical="center"/>
    </xf>
    <xf numFmtId="0" fontId="0" fillId="0" borderId="1" applyAlignment="1" pivotButton="0" quotePrefix="0" xfId="0">
      <alignment vertical="center" wrapText="1"/>
    </xf>
    <xf numFmtId="0" fontId="0" fillId="6" borderId="1" applyAlignment="1" pivotButton="0" quotePrefix="0" xfId="0">
      <alignment horizontal="center" vertical="center"/>
    </xf>
    <xf numFmtId="0" fontId="0" fillId="6" borderId="1" applyAlignment="1" pivotButton="0" quotePrefix="0" xfId="0">
      <alignment vertical="center"/>
    </xf>
    <xf numFmtId="0" fontId="15" fillId="6" borderId="1" applyAlignment="1" pivotButton="0" quotePrefix="0" xfId="0">
      <alignment vertical="center"/>
    </xf>
    <xf numFmtId="0" fontId="0" fillId="6" borderId="1" applyAlignment="1" pivotButton="0" quotePrefix="0" xfId="0">
      <alignment vertical="center" wrapText="1"/>
    </xf>
  </cellXfs>
  <cellStyles count="1">
    <cellStyle name="Normal" xfId="0" builtinId="0" hidden="0"/>
  </cellStyles>
  <dxfs count="2">
    <dxf>
      <font>
        <b val="1"/>
        <color rgb="00006100"/>
      </font>
      <fill>
        <patternFill patternType="solid">
          <bgColor rgb="00C6EFCE"/>
        </patternFill>
      </fill>
    </dxf>
    <dxf>
      <font>
        <b val="1"/>
        <color rgb="009C0006"/>
      </font>
      <fill>
        <patternFill patternType="solid">
          <b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styles" Target="styles.xml" Id="rId19"/><Relationship Type="http://schemas.openxmlformats.org/officeDocument/2006/relationships/theme" Target="theme/theme1.xml" Id="rId2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2:B12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96" customWidth="1" min="2" max="2"/>
  </cols>
  <sheetData>
    <row r="2" ht="30" customHeight="1">
      <c r="B2" s="1" t="inlineStr">
        <is>
          <t>컴활 2급 실기 · 함수 연습 — 문자열 (15문제)</t>
        </is>
      </c>
    </row>
    <row r="3" ht="19" customHeight="1">
      <c r="B3" s="2" t="inlineStr">
        <is>
          <t>웹 「함수 연습소」의 [문자열] 범위와 똑같은 문제입니다. 번호도, 표도, 칸 주소도 같습니다.</t>
        </is>
      </c>
    </row>
    <row r="4" ht="19" customHeight="1">
      <c r="B4" s="2" t="inlineStr">
        <is>
          <t>웹에서는 한 문제씩, 여기서는 진짜 엑셀로 한꺼번에 풀어 봅니다.</t>
        </is>
      </c>
    </row>
    <row r="5" ht="24" customHeight="1">
      <c r="B5" s="3" t="inlineStr">
        <is>
          <t>푸는 법</t>
        </is>
      </c>
    </row>
    <row r="6" ht="19" customHeight="1">
      <c r="B6" s="2" t="inlineStr">
        <is>
          <t>① 아래 시트 탭(01, 02 …)이 문제 하나씩입니다. 오른쪽에 문제가 적혀 있습니다.</t>
        </is>
      </c>
    </row>
    <row r="7" ht="19" customHeight="1">
      <c r="B7" s="2" t="inlineStr">
        <is>
          <t>② 노란 칸의 0 을 지우고 = 로 시작하는 수식을 넣습니다.</t>
        </is>
      </c>
    </row>
    <row r="8" ht="19" customHeight="1">
      <c r="B8" s="2" t="inlineStr">
        <is>
          <t>③ 노란 칸이 여러 줄이면 — 첫 칸에만 수식을 넣고, 채우기 핸들(칸 오른쪽 아래 ■)을 마지막 노란 칸까지 끌어내립니다.</t>
        </is>
      </c>
    </row>
    <row r="9" ht="19" customHeight="1">
      <c r="B9" s="2" t="inlineStr">
        <is>
          <t>④ 오른쪽 [채점] 칸이 ✔ 맞음 / ✘ 다시 로 스스로 바뀝니다. 수식이 달라도 결과가 같으면 맞음입니다.</t>
        </is>
      </c>
    </row>
    <row r="10" ht="19" customHeight="1">
      <c r="B10" s="2" t="inlineStr">
        <is>
          <t>⑤ [채점표] 시트에서 전체 진행 상황을, 맨 끝 [정답] 시트에서 모범답안을 볼 수 있습니다.</t>
        </is>
      </c>
    </row>
    <row r="11" ht="34" customHeight="1">
      <c r="B11" s="4" t="inlineStr">
        <is>
          <t>사람마다 결과가 달라야 정상입니다. 첫 칸은 맞았는데 아래 칸이 틀린다면, 끌어내리면서 범위나 기준 칸도 같이 내려간 것입니다 — 움직이면 안 되는 주소에 F4 로 $ 를 붙이세요.</t>
        </is>
      </c>
    </row>
    <row r="12" ht="34" customHeight="1">
      <c r="B12" s="4" t="inlineStr">
        <is>
          <t>값이 안 바뀌어 보이면 Ctrl + Alt + F9 (전체 다시 계산). 숫자를 손으로 적으면 맞음이 나오지 않습니다.</t>
        </is>
      </c>
    </row>
  </sheetData>
  <printOptions horizontalCentered="1"/>
  <pageMargins left="0.3" right="0.3" top="0.4" bottom="0.4" header="0.5" footer="0.5"/>
  <pageSetup orientation="landscape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20"/>
  <sheetViews>
    <sheetView workbookViewId="0">
      <selection activeCell="A1" sqref="A1"/>
    </sheetView>
  </sheetViews>
  <sheetFormatPr baseColWidth="8" defaultRowHeight="15"/>
  <cols>
    <col width="7" customWidth="1" min="1" max="1"/>
    <col width="34" customWidth="1" min="2" max="2"/>
    <col width="16" customWidth="1" min="3" max="3"/>
    <col width="18" customWidth="1" min="4" max="4"/>
  </cols>
  <sheetData>
    <row r="1" ht="26" customHeight="1">
      <c r="A1" s="5" t="inlineStr">
        <is>
          <t>채점표 — 문자열 15문제</t>
        </is>
      </c>
    </row>
    <row r="3" ht="24" customHeight="1">
      <c r="A3" s="6" t="inlineStr">
        <is>
          <t>번호</t>
        </is>
      </c>
      <c r="B3" s="6" t="inlineStr">
        <is>
          <t>문제</t>
        </is>
      </c>
      <c r="C3" s="6" t="inlineStr">
        <is>
          <t>넣을 칸</t>
        </is>
      </c>
      <c r="D3" s="6" t="inlineStr">
        <is>
          <t>채점</t>
        </is>
      </c>
    </row>
    <row r="4">
      <c r="A4" s="7" t="n">
        <v>1</v>
      </c>
      <c r="B4" s="8" t="inlineStr">
        <is>
          <t>왼쪽 글자 추출</t>
        </is>
      </c>
      <c r="C4" s="7" t="inlineStr">
        <is>
          <t>B2 → B7</t>
        </is>
      </c>
      <c r="D4" s="9">
        <f>'01 왼쪽 글자 추출'!I7</f>
        <v/>
      </c>
    </row>
    <row r="5">
      <c r="A5" s="7" t="n">
        <v>2</v>
      </c>
      <c r="B5" s="8" t="inlineStr">
        <is>
          <t>오른쪽 글자 추출</t>
        </is>
      </c>
      <c r="C5" s="7" t="inlineStr">
        <is>
          <t>B2 → B7</t>
        </is>
      </c>
      <c r="D5" s="9">
        <f>'02 오른쪽 글자 추출'!I7</f>
        <v/>
      </c>
    </row>
    <row r="6">
      <c r="A6" s="7" t="n">
        <v>3</v>
      </c>
      <c r="B6" s="8" t="inlineStr">
        <is>
          <t>중간 글자 추출</t>
        </is>
      </c>
      <c r="C6" s="7" t="inlineStr">
        <is>
          <t>B2 → B7</t>
        </is>
      </c>
      <c r="D6" s="9">
        <f>'03 중간 글자 추출'!I7</f>
        <v/>
      </c>
    </row>
    <row r="7">
      <c r="A7" s="7" t="n">
        <v>4</v>
      </c>
      <c r="B7" s="8" t="inlineStr">
        <is>
          <t>글자 수 세기</t>
        </is>
      </c>
      <c r="C7" s="7" t="inlineStr">
        <is>
          <t>B2 → B7</t>
        </is>
      </c>
      <c r="D7" s="9">
        <f>'04 글자 수 세기'!I7</f>
        <v/>
      </c>
    </row>
    <row r="8">
      <c r="A8" s="7" t="n">
        <v>5</v>
      </c>
      <c r="B8" s="8" t="inlineStr">
        <is>
          <t>문자 연결하기</t>
        </is>
      </c>
      <c r="C8" s="7" t="inlineStr">
        <is>
          <t>C2 → C6</t>
        </is>
      </c>
      <c r="D8" s="9">
        <f>'05 문자 연결하기'!I7</f>
        <v/>
      </c>
    </row>
    <row r="9">
      <c r="A9" s="7" t="n">
        <v>6</v>
      </c>
      <c r="B9" s="8" t="inlineStr">
        <is>
          <t>괄호로 묶어 표시</t>
        </is>
      </c>
      <c r="C9" s="7" t="inlineStr">
        <is>
          <t>C2 → C6</t>
        </is>
      </c>
      <c r="D9" s="9">
        <f>'06 괄호로 묶어 표시'!I7</f>
        <v/>
      </c>
    </row>
    <row r="10">
      <c r="A10" s="7" t="n">
        <v>7</v>
      </c>
      <c r="B10" s="8" t="inlineStr">
        <is>
          <t>대문자로 바꾸기</t>
        </is>
      </c>
      <c r="C10" s="7" t="inlineStr">
        <is>
          <t>B2 → B7</t>
        </is>
      </c>
      <c r="D10" s="9">
        <f>'07 대문자로 바꾸기'!I7</f>
        <v/>
      </c>
    </row>
    <row r="11">
      <c r="A11" s="7" t="n">
        <v>8</v>
      </c>
      <c r="B11" s="8" t="inlineStr">
        <is>
          <t>첫 글자만 대문자</t>
        </is>
      </c>
      <c r="C11" s="7" t="inlineStr">
        <is>
          <t>B2 → B7</t>
        </is>
      </c>
      <c r="D11" s="9">
        <f>'08 첫 글자만 대문자'!I7</f>
        <v/>
      </c>
    </row>
    <row r="12">
      <c r="A12" s="7" t="n">
        <v>9</v>
      </c>
      <c r="B12" s="8" t="inlineStr">
        <is>
          <t>일부를 *로 가리기</t>
        </is>
      </c>
      <c r="C12" s="7" t="inlineStr">
        <is>
          <t>B2 → B7</t>
        </is>
      </c>
      <c r="D12" s="9">
        <f>'09 일부를 로 가리기'!I7</f>
        <v/>
      </c>
    </row>
    <row r="13">
      <c r="A13" s="7" t="n">
        <v>10</v>
      </c>
      <c r="B13" s="8" t="inlineStr">
        <is>
          <t>문자 위치 찾기</t>
        </is>
      </c>
      <c r="C13" s="7" t="inlineStr">
        <is>
          <t>B2 → B7</t>
        </is>
      </c>
      <c r="D13" s="9">
        <f>'10 문자 위치 찾기'!I7</f>
        <v/>
      </c>
    </row>
    <row r="14">
      <c r="A14" s="7" t="n">
        <v>11</v>
      </c>
      <c r="B14" s="8" t="inlineStr">
        <is>
          <t>구분자 앞부분만 추출</t>
        </is>
      </c>
      <c r="C14" s="7" t="inlineStr">
        <is>
          <t>B2 → B7</t>
        </is>
      </c>
      <c r="D14" s="9">
        <f>'11 구분자 앞부분만 추출'!I7</f>
        <v/>
      </c>
    </row>
    <row r="15">
      <c r="A15" s="7" t="n">
        <v>12</v>
      </c>
      <c r="B15" s="8" t="inlineStr">
        <is>
          <t>불필요한 공백 제거</t>
        </is>
      </c>
      <c r="C15" s="7" t="inlineStr">
        <is>
          <t>B2 → B7</t>
        </is>
      </c>
      <c r="D15" s="9">
        <f>'12 불필요한 공백 제거'!I7</f>
        <v/>
      </c>
    </row>
    <row r="16">
      <c r="A16" s="7" t="n">
        <v>13</v>
      </c>
      <c r="B16" s="8" t="inlineStr">
        <is>
          <t>학번에서 학년만</t>
        </is>
      </c>
      <c r="C16" s="7" t="inlineStr">
        <is>
          <t>B2 → B7</t>
        </is>
      </c>
      <c r="D16" s="9">
        <f>'13 학번에서 학년만'!I7</f>
        <v/>
      </c>
    </row>
    <row r="17">
      <c r="A17" s="7" t="n">
        <v>14</v>
      </c>
      <c r="B17" s="8" t="inlineStr">
        <is>
          <t>이름 뒤에 "님" 붙이기</t>
        </is>
      </c>
      <c r="C17" s="7" t="inlineStr">
        <is>
          <t>B2 → B7</t>
        </is>
      </c>
      <c r="D17" s="9">
        <f>'14 이름 뒤에 님 붙이기'!I7</f>
        <v/>
      </c>
    </row>
    <row r="18">
      <c r="A18" s="7" t="n">
        <v>15</v>
      </c>
      <c r="B18" s="8" t="inlineStr">
        <is>
          <t>앞뒤 공백 없애고 대문자로</t>
        </is>
      </c>
      <c r="C18" s="7" t="inlineStr">
        <is>
          <t>B2 → B7</t>
        </is>
      </c>
      <c r="D18" s="9">
        <f>'15 앞뒤 공백 없애고 대문자로'!I7</f>
        <v/>
      </c>
    </row>
    <row r="20">
      <c r="B20" s="10" t="inlineStr">
        <is>
          <t>맞은 문제</t>
        </is>
      </c>
      <c r="D20" s="11">
        <f>COUNTIF(D4:D18,"*맞음*")&amp;" / 15"</f>
        <v/>
      </c>
    </row>
  </sheetData>
  <mergeCells count="1">
    <mergeCell ref="A1:D1"/>
  </mergeCells>
  <conditionalFormatting sqref="D4:D18">
    <cfRule type="expression" priority="1" dxfId="0">
      <formula>ISNUMBER(SEARCH("맞",D4))</formula>
    </cfRule>
    <cfRule type="expression" priority="2" dxfId="1">
      <formula>ISNUMBER(SEARCH("다시",D4))</formula>
    </cfRule>
  </conditionalFormatting>
  <printOptions horizontalCentered="1"/>
  <pageMargins left="0.3" right="0.3" top="0.4" bottom="0.4" header="0.5" footer="0.5"/>
  <pageSetup orientation="landscape" paperSize="9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AB12"/>
  <sheetViews>
    <sheetView showGridLines="1" workbookViewId="0">
      <selection activeCell="A1" sqref="A1"/>
    </sheetView>
  </sheetViews>
  <sheetFormatPr baseColWidth="8" defaultRowHeight="15"/>
  <cols>
    <col width="11" customWidth="1" min="1" max="1"/>
    <col width="14" customWidth="1" min="2" max="2"/>
    <col width="3" customWidth="1" min="3" max="3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hidden="1" width="13" customWidth="1" min="27" max="27"/>
    <col hidden="1" width="13" customWidth="1" min="28" max="28"/>
  </cols>
  <sheetData>
    <row r="1" ht="24" customHeight="1">
      <c r="A1" s="12" t="inlineStr">
        <is>
          <t>코드</t>
        </is>
      </c>
      <c r="B1" s="12" t="inlineStr">
        <is>
          <t>지역</t>
        </is>
      </c>
      <c r="H1" s="13" t="inlineStr">
        <is>
          <t>1번 · 왼쪽 글자 추출</t>
        </is>
      </c>
    </row>
    <row r="2" ht="22" customHeight="1">
      <c r="A2" s="7" t="inlineStr">
        <is>
          <t>서울-A102</t>
        </is>
      </c>
      <c r="B2" s="14" t="n">
        <v>0</v>
      </c>
      <c r="H2" s="15" t="inlineStr">
        <is>
          <t>코드[A2:A7]의 왼쪽 2글자를 [B2:B7]에 표시하시오.</t>
        </is>
      </c>
      <c r="AA2">
        <f>LEFT(A2,2)</f>
        <v/>
      </c>
      <c r="AB2">
        <f>AND(_xlfn.ISFORMULA(B2),IFERROR(ROUND(B2,4)=ROUND(AA2,4),EXACT(B2,AA2)))</f>
        <v/>
      </c>
    </row>
    <row r="3" ht="22" customHeight="1">
      <c r="A3" s="7" t="inlineStr">
        <is>
          <t>부산-B77</t>
        </is>
      </c>
      <c r="B3" s="14" t="n">
        <v>0</v>
      </c>
      <c r="AA3">
        <f>LEFT(A3,2)</f>
        <v/>
      </c>
      <c r="AB3">
        <f>AND(_xlfn.ISFORMULA(B3),IFERROR(ROUND(B3,4)=ROUND(AA3,4),EXACT(B3,AA3)))</f>
        <v/>
      </c>
    </row>
    <row r="4" ht="22" customHeight="1">
      <c r="A4" s="7" t="inlineStr">
        <is>
          <t>대구-C3</t>
        </is>
      </c>
      <c r="B4" s="14" t="n">
        <v>0</v>
      </c>
      <c r="AA4">
        <f>LEFT(A4,2)</f>
        <v/>
      </c>
      <c r="AB4">
        <f>AND(_xlfn.ISFORMULA(B4),IFERROR(ROUND(B4,4)=ROUND(AA4,4),EXACT(B4,AA4)))</f>
        <v/>
      </c>
    </row>
    <row r="5" ht="20" customHeight="1">
      <c r="A5" s="7" t="inlineStr">
        <is>
          <t>인천-A1</t>
        </is>
      </c>
      <c r="B5" s="14" t="n">
        <v>0</v>
      </c>
      <c r="H5" s="16" t="inlineStr">
        <is>
          <t>① B2 의 0 을 지우고 수식을 넣습니다.
② 채우기 핸들(칸 오른쪽 아래 ■)을 B7 까지 끌어내립니다.</t>
        </is>
      </c>
      <c r="AA5">
        <f>LEFT(A5,2)</f>
        <v/>
      </c>
      <c r="AB5">
        <f>AND(_xlfn.ISFORMULA(B5),IFERROR(ROUND(B5,4)=ROUND(AA5,4),EXACT(B5,AA5)))</f>
        <v/>
      </c>
    </row>
    <row r="6" ht="20" customHeight="1">
      <c r="A6" s="7" t="inlineStr">
        <is>
          <t>광주-D205</t>
        </is>
      </c>
      <c r="B6" s="14" t="n">
        <v>0</v>
      </c>
      <c r="AA6">
        <f>LEFT(A6,2)</f>
        <v/>
      </c>
      <c r="AB6">
        <f>AND(_xlfn.ISFORMULA(B6),IFERROR(ROUND(B6,4)=ROUND(AA6,4),EXACT(B6,AA6)))</f>
        <v/>
      </c>
    </row>
    <row r="7" ht="24" customHeight="1">
      <c r="A7" s="7" t="inlineStr">
        <is>
          <t>울산-E48</t>
        </is>
      </c>
      <c r="B7" s="14" t="n">
        <v>0</v>
      </c>
      <c r="H7" s="12" t="inlineStr">
        <is>
          <t>채점</t>
        </is>
      </c>
      <c r="I7" s="17">
        <f>IF(NOT(_xlfn.ISFORMULA(B2)),"↖ 0 지우고 수식",IF(COUNTIF(AB2:AB7,TRUE)=6,"✔ 맞음","✘ 다시 ("&amp;COUNTIF(AB2:AB7,TRUE)&amp;" / 6칸)"))</f>
        <v/>
      </c>
      <c r="J7" s="18" t="n"/>
      <c r="K7" s="18" t="n"/>
      <c r="AA7">
        <f>LEFT(A7,2)</f>
        <v/>
      </c>
      <c r="AB7">
        <f>AND(_xlfn.ISFORMULA(B7),IFERROR(ROUND(B7,4)=ROUND(AA7,4),EXACT(B7,AA7)))</f>
        <v/>
      </c>
    </row>
    <row r="8" ht="18" customHeight="1">
      <c r="H8" s="19" t="inlineStr">
        <is>
          <t>칸마다 따로 채점합니다. 첫 칸만 맞고 아래가 틀리면 — 끌어내릴 때 움직이면 안 되는 주소에 $ 가 있는지 보세요.</t>
        </is>
      </c>
    </row>
    <row r="9" ht="18" customHeight="1"/>
    <row r="11" ht="18" customHeight="1">
      <c r="H11" s="20" t="inlineStr">
        <is>
          <t>💡 막히면: LEFT(문자열, 글자수)</t>
        </is>
      </c>
    </row>
    <row r="12" ht="18" customHeight="1"/>
  </sheetData>
  <mergeCells count="6">
    <mergeCell ref="H11:N12"/>
    <mergeCell ref="H5:N6"/>
    <mergeCell ref="H8:N9"/>
    <mergeCell ref="H2:N4"/>
    <mergeCell ref="H1:N1"/>
    <mergeCell ref="I7:K7"/>
  </mergeCells>
  <conditionalFormatting sqref="I7">
    <cfRule type="expression" priority="1" dxfId="0">
      <formula>ISNUMBER(SEARCH("맞",I7))</formula>
    </cfRule>
    <cfRule type="expression" priority="2" dxfId="1">
      <formula>ISNUMBER(SEARCH("다시",I7))</formula>
    </cfRule>
  </conditionalFormatting>
  <printOptions horizontalCentered="1"/>
  <pageMargins left="0.3" right="0.3" top="0.4" bottom="0.4" header="0.5" footer="0.5"/>
  <pageSetup orientation="landscape" paperSize="9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AB12"/>
  <sheetViews>
    <sheetView showGridLines="1" workbookViewId="0">
      <selection activeCell="A1" sqref="A1"/>
    </sheetView>
  </sheetViews>
  <sheetFormatPr baseColWidth="8" defaultRowHeight="15"/>
  <cols>
    <col width="11" customWidth="1" min="1" max="1"/>
    <col width="14" customWidth="1" min="2" max="2"/>
    <col width="3" customWidth="1" min="3" max="3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hidden="1" width="13" customWidth="1" min="27" max="27"/>
    <col hidden="1" width="13" customWidth="1" min="28" max="28"/>
  </cols>
  <sheetData>
    <row r="1" ht="24" customHeight="1">
      <c r="A1" s="12" t="inlineStr">
        <is>
          <t>코드</t>
        </is>
      </c>
      <c r="B1" s="12" t="inlineStr">
        <is>
          <t>번호</t>
        </is>
      </c>
      <c r="H1" s="13" t="inlineStr">
        <is>
          <t>2번 · 오른쪽 글자 추출</t>
        </is>
      </c>
    </row>
    <row r="2" ht="22" customHeight="1">
      <c r="A2" s="7" t="inlineStr">
        <is>
          <t>서울-A102</t>
        </is>
      </c>
      <c r="B2" s="14" t="n">
        <v>0</v>
      </c>
      <c r="H2" s="15" t="inlineStr">
        <is>
          <t>코드[A2:A7]의 오른쪽 3글자를 [B2:B7]에 표시하시오.</t>
        </is>
      </c>
      <c r="AA2">
        <f>RIGHT(A2,3)</f>
        <v/>
      </c>
      <c r="AB2">
        <f>AND(_xlfn.ISFORMULA(B2),IFERROR(ROUND(B2,4)=ROUND(AA2,4),EXACT(B2,AA2)))</f>
        <v/>
      </c>
    </row>
    <row r="3" ht="22" customHeight="1">
      <c r="A3" s="7" t="inlineStr">
        <is>
          <t>부산-B770</t>
        </is>
      </c>
      <c r="B3" s="14" t="n">
        <v>0</v>
      </c>
      <c r="AA3">
        <f>RIGHT(A3,3)</f>
        <v/>
      </c>
      <c r="AB3">
        <f>AND(_xlfn.ISFORMULA(B3),IFERROR(ROUND(B3,4)=ROUND(AA3,4),EXACT(B3,AA3)))</f>
        <v/>
      </c>
    </row>
    <row r="4" ht="22" customHeight="1">
      <c r="A4" s="7" t="inlineStr">
        <is>
          <t>대구-C301</t>
        </is>
      </c>
      <c r="B4" s="14" t="n">
        <v>0</v>
      </c>
      <c r="AA4">
        <f>RIGHT(A4,3)</f>
        <v/>
      </c>
      <c r="AB4">
        <f>AND(_xlfn.ISFORMULA(B4),IFERROR(ROUND(B4,4)=ROUND(AA4,4),EXACT(B4,AA4)))</f>
        <v/>
      </c>
    </row>
    <row r="5" ht="20" customHeight="1">
      <c r="A5" s="7" t="inlineStr">
        <is>
          <t>인천-A001</t>
        </is>
      </c>
      <c r="B5" s="14" t="n">
        <v>0</v>
      </c>
      <c r="H5" s="16" t="inlineStr">
        <is>
          <t>① B2 의 0 을 지우고 수식을 넣습니다.
② 채우기 핸들(칸 오른쪽 아래 ■)을 B7 까지 끌어내립니다.</t>
        </is>
      </c>
      <c r="AA5">
        <f>RIGHT(A5,3)</f>
        <v/>
      </c>
      <c r="AB5">
        <f>AND(_xlfn.ISFORMULA(B5),IFERROR(ROUND(B5,4)=ROUND(AA5,4),EXACT(B5,AA5)))</f>
        <v/>
      </c>
    </row>
    <row r="6" ht="20" customHeight="1">
      <c r="A6" s="7" t="inlineStr">
        <is>
          <t>광주-D205</t>
        </is>
      </c>
      <c r="B6" s="14" t="n">
        <v>0</v>
      </c>
      <c r="AA6">
        <f>RIGHT(A6,3)</f>
        <v/>
      </c>
      <c r="AB6">
        <f>AND(_xlfn.ISFORMULA(B6),IFERROR(ROUND(B6,4)=ROUND(AA6,4),EXACT(B6,AA6)))</f>
        <v/>
      </c>
    </row>
    <row r="7" ht="24" customHeight="1">
      <c r="A7" s="7" t="inlineStr">
        <is>
          <t>울산-E480</t>
        </is>
      </c>
      <c r="B7" s="14" t="n">
        <v>0</v>
      </c>
      <c r="H7" s="12" t="inlineStr">
        <is>
          <t>채점</t>
        </is>
      </c>
      <c r="I7" s="17">
        <f>IF(NOT(_xlfn.ISFORMULA(B2)),"↖ 0 지우고 수식",IF(COUNTIF(AB2:AB7,TRUE)=6,"✔ 맞음","✘ 다시 ("&amp;COUNTIF(AB2:AB7,TRUE)&amp;" / 6칸)"))</f>
        <v/>
      </c>
      <c r="J7" s="18" t="n"/>
      <c r="K7" s="18" t="n"/>
      <c r="AA7">
        <f>RIGHT(A7,3)</f>
        <v/>
      </c>
      <c r="AB7">
        <f>AND(_xlfn.ISFORMULA(B7),IFERROR(ROUND(B7,4)=ROUND(AA7,4),EXACT(B7,AA7)))</f>
        <v/>
      </c>
    </row>
    <row r="8" ht="18" customHeight="1">
      <c r="H8" s="19" t="inlineStr">
        <is>
          <t>칸마다 따로 채점합니다. 첫 칸만 맞고 아래가 틀리면 — 끌어내릴 때 움직이면 안 되는 주소에 $ 가 있는지 보세요.</t>
        </is>
      </c>
    </row>
    <row r="9" ht="18" customHeight="1"/>
    <row r="11" ht="18" customHeight="1">
      <c r="H11" s="20" t="inlineStr">
        <is>
          <t>💡 막히면: RIGHT(문자열, 글자수)</t>
        </is>
      </c>
    </row>
    <row r="12" ht="18" customHeight="1"/>
  </sheetData>
  <mergeCells count="6">
    <mergeCell ref="H11:N12"/>
    <mergeCell ref="H5:N6"/>
    <mergeCell ref="H8:N9"/>
    <mergeCell ref="H2:N4"/>
    <mergeCell ref="H1:N1"/>
    <mergeCell ref="I7:K7"/>
  </mergeCells>
  <conditionalFormatting sqref="I7">
    <cfRule type="expression" priority="1" dxfId="0">
      <formula>ISNUMBER(SEARCH("맞",I7))</formula>
    </cfRule>
    <cfRule type="expression" priority="2" dxfId="1">
      <formula>ISNUMBER(SEARCH("다시",I7))</formula>
    </cfRule>
  </conditionalFormatting>
  <printOptions horizontalCentered="1"/>
  <pageMargins left="0.3" right="0.3" top="0.4" bottom="0.4" header="0.5" footer="0.5"/>
  <pageSetup orientation="landscape" paperSize="9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AB12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3" customWidth="1" min="3" max="3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hidden="1" width="13" customWidth="1" min="27" max="27"/>
    <col hidden="1" width="13" customWidth="1" min="28" max="28"/>
  </cols>
  <sheetData>
    <row r="1" ht="24" customHeight="1">
      <c r="A1" s="12" t="inlineStr">
        <is>
          <t>주민번호</t>
        </is>
      </c>
      <c r="B1" s="12" t="inlineStr">
        <is>
          <t>생월</t>
        </is>
      </c>
      <c r="H1" s="13" t="inlineStr">
        <is>
          <t>3번 · 중간 글자 추출</t>
        </is>
      </c>
    </row>
    <row r="2" ht="22" customHeight="1">
      <c r="A2" s="7" t="inlineStr">
        <is>
          <t>041215-3</t>
        </is>
      </c>
      <c r="B2" s="14" t="n">
        <v>0</v>
      </c>
      <c r="H2" s="15" t="inlineStr">
        <is>
          <t>주민번호[A2:A7]의 3번째부터 2글자를 [B2:B7]에 표시하시오.</t>
        </is>
      </c>
      <c r="AA2">
        <f>MID(A2,3,2)</f>
        <v/>
      </c>
      <c r="AB2">
        <f>AND(_xlfn.ISFORMULA(B2),IFERROR(ROUND(B2,4)=ROUND(AA2,4),EXACT(B2,AA2)))</f>
        <v/>
      </c>
    </row>
    <row r="3" ht="22" customHeight="1">
      <c r="A3" s="7" t="inlineStr">
        <is>
          <t>990301-1</t>
        </is>
      </c>
      <c r="B3" s="14" t="n">
        <v>0</v>
      </c>
      <c r="AA3">
        <f>MID(A3,3,2)</f>
        <v/>
      </c>
      <c r="AB3">
        <f>AND(_xlfn.ISFORMULA(B3),IFERROR(ROUND(B3,4)=ROUND(AA3,4),EXACT(B3,AA3)))</f>
        <v/>
      </c>
    </row>
    <row r="4" ht="22" customHeight="1">
      <c r="A4" s="7" t="inlineStr">
        <is>
          <t>070925-4</t>
        </is>
      </c>
      <c r="B4" s="14" t="n">
        <v>0</v>
      </c>
      <c r="AA4">
        <f>MID(A4,3,2)</f>
        <v/>
      </c>
      <c r="AB4">
        <f>AND(_xlfn.ISFORMULA(B4),IFERROR(ROUND(B4,4)=ROUND(AA4,4),EXACT(B4,AA4)))</f>
        <v/>
      </c>
    </row>
    <row r="5" ht="20" customHeight="1">
      <c r="A5" s="7" t="inlineStr">
        <is>
          <t>031111-3</t>
        </is>
      </c>
      <c r="B5" s="14" t="n">
        <v>0</v>
      </c>
      <c r="H5" s="16" t="inlineStr">
        <is>
          <t>① B2 의 0 을 지우고 수식을 넣습니다.
② 채우기 핸들(칸 오른쪽 아래 ■)을 B7 까지 끌어내립니다.</t>
        </is>
      </c>
      <c r="AA5">
        <f>MID(A5,3,2)</f>
        <v/>
      </c>
      <c r="AB5">
        <f>AND(_xlfn.ISFORMULA(B5),IFERROR(ROUND(B5,4)=ROUND(AA5,4),EXACT(B5,AA5)))</f>
        <v/>
      </c>
    </row>
    <row r="6" ht="20" customHeight="1">
      <c r="A6" s="7" t="inlineStr">
        <is>
          <t>050608-4</t>
        </is>
      </c>
      <c r="B6" s="14" t="n">
        <v>0</v>
      </c>
      <c r="AA6">
        <f>MID(A6,3,2)</f>
        <v/>
      </c>
      <c r="AB6">
        <f>AND(_xlfn.ISFORMULA(B6),IFERROR(ROUND(B6,4)=ROUND(AA6,4),EXACT(B6,AA6)))</f>
        <v/>
      </c>
    </row>
    <row r="7" ht="24" customHeight="1">
      <c r="A7" s="7" t="inlineStr">
        <is>
          <t>981231-2</t>
        </is>
      </c>
      <c r="B7" s="14" t="n">
        <v>0</v>
      </c>
      <c r="H7" s="12" t="inlineStr">
        <is>
          <t>채점</t>
        </is>
      </c>
      <c r="I7" s="17">
        <f>IF(NOT(_xlfn.ISFORMULA(B2)),"↖ 0 지우고 수식",IF(COUNTIF(AB2:AB7,TRUE)=6,"✔ 맞음","✘ 다시 ("&amp;COUNTIF(AB2:AB7,TRUE)&amp;" / 6칸)"))</f>
        <v/>
      </c>
      <c r="J7" s="18" t="n"/>
      <c r="K7" s="18" t="n"/>
      <c r="AA7">
        <f>MID(A7,3,2)</f>
        <v/>
      </c>
      <c r="AB7">
        <f>AND(_xlfn.ISFORMULA(B7),IFERROR(ROUND(B7,4)=ROUND(AA7,4),EXACT(B7,AA7)))</f>
        <v/>
      </c>
    </row>
    <row r="8" ht="18" customHeight="1">
      <c r="H8" s="19" t="inlineStr">
        <is>
          <t>칸마다 따로 채점합니다. 첫 칸만 맞고 아래가 틀리면 — 끌어내릴 때 움직이면 안 되는 주소에 $ 가 있는지 보세요.</t>
        </is>
      </c>
    </row>
    <row r="9" ht="18" customHeight="1"/>
    <row r="11" ht="18" customHeight="1">
      <c r="H11" s="20" t="inlineStr">
        <is>
          <t>💡 막히면: MID(문자열, 시작위치, 글자수)</t>
        </is>
      </c>
    </row>
    <row r="12" ht="18" customHeight="1"/>
  </sheetData>
  <mergeCells count="6">
    <mergeCell ref="H11:N12"/>
    <mergeCell ref="H5:N6"/>
    <mergeCell ref="H8:N9"/>
    <mergeCell ref="H2:N4"/>
    <mergeCell ref="H1:N1"/>
    <mergeCell ref="I7:K7"/>
  </mergeCells>
  <conditionalFormatting sqref="I7">
    <cfRule type="expression" priority="1" dxfId="0">
      <formula>ISNUMBER(SEARCH("맞",I7))</formula>
    </cfRule>
    <cfRule type="expression" priority="2" dxfId="1">
      <formula>ISNUMBER(SEARCH("다시",I7))</formula>
    </cfRule>
  </conditionalFormatting>
  <printOptions horizontalCentered="1"/>
  <pageMargins left="0.3" right="0.3" top="0.4" bottom="0.4" header="0.5" footer="0.5"/>
  <pageSetup orientation="landscape" paperSize="9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AB12"/>
  <sheetViews>
    <sheetView showGridLines="1" workbookViewId="0">
      <selection activeCell="A1" sqref="A1"/>
    </sheetView>
  </sheetViews>
  <sheetFormatPr baseColWidth="8" defaultRowHeight="15"/>
  <cols>
    <col width="11" customWidth="1" min="1" max="1"/>
    <col width="14" customWidth="1" min="2" max="2"/>
    <col width="3" customWidth="1" min="3" max="3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hidden="1" width="13" customWidth="1" min="27" max="27"/>
    <col hidden="1" width="13" customWidth="1" min="28" max="28"/>
  </cols>
  <sheetData>
    <row r="1" ht="24" customHeight="1">
      <c r="A1" s="12" t="inlineStr">
        <is>
          <t>문장</t>
        </is>
      </c>
      <c r="B1" s="12" t="inlineStr">
        <is>
          <t>글자수</t>
        </is>
      </c>
      <c r="H1" s="13" t="inlineStr">
        <is>
          <t>4번 · 글자 수 세기</t>
        </is>
      </c>
    </row>
    <row r="2" ht="22" customHeight="1">
      <c r="A2" s="7" t="inlineStr">
        <is>
          <t>컴퓨터활용능력</t>
        </is>
      </c>
      <c r="B2" s="14" t="n">
        <v>0</v>
      </c>
      <c r="H2" s="15" t="inlineStr">
        <is>
          <t>문장[A2:A7]의 글자 수를 [B2:B7]에 구하시오.</t>
        </is>
      </c>
      <c r="AA2">
        <f>LEN(A2)</f>
        <v/>
      </c>
      <c r="AB2">
        <f>AND(_xlfn.ISFORMULA(B2),IFERROR(ROUND(B2,4)=ROUND(AA2,4),EXACT(B2,AA2)))</f>
        <v/>
      </c>
    </row>
    <row r="3" ht="22" customHeight="1">
      <c r="A3" s="7" t="inlineStr">
        <is>
          <t>엑셀</t>
        </is>
      </c>
      <c r="B3" s="14" t="n">
        <v>0</v>
      </c>
      <c r="AA3">
        <f>LEN(A3)</f>
        <v/>
      </c>
      <c r="AB3">
        <f>AND(_xlfn.ISFORMULA(B3),IFERROR(ROUND(B3,4)=ROUND(AA3,4),EXACT(B3,AA3)))</f>
        <v/>
      </c>
    </row>
    <row r="4" ht="22" customHeight="1">
      <c r="A4" s="7" t="inlineStr">
        <is>
          <t>스마트 팩토리</t>
        </is>
      </c>
      <c r="B4" s="14" t="n">
        <v>0</v>
      </c>
      <c r="AA4">
        <f>LEN(A4)</f>
        <v/>
      </c>
      <c r="AB4">
        <f>AND(_xlfn.ISFORMULA(B4),IFERROR(ROUND(B4,4)=ROUND(AA4,4),EXACT(B4,AA4)))</f>
        <v/>
      </c>
    </row>
    <row r="5" ht="20" customHeight="1">
      <c r="A5" s="7" t="inlineStr">
        <is>
          <t>PLC</t>
        </is>
      </c>
      <c r="B5" s="14" t="n">
        <v>0</v>
      </c>
      <c r="H5" s="16" t="inlineStr">
        <is>
          <t>① B2 의 0 을 지우고 수식을 넣습니다.
② 채우기 핸들(칸 오른쪽 아래 ■)을 B7 까지 끌어내립니다.</t>
        </is>
      </c>
      <c r="AA5">
        <f>LEN(A5)</f>
        <v/>
      </c>
      <c r="AB5">
        <f>AND(_xlfn.ISFORMULA(B5),IFERROR(ROUND(B5,4)=ROUND(AA5,4),EXACT(B5,AA5)))</f>
        <v/>
      </c>
    </row>
    <row r="6" ht="20" customHeight="1">
      <c r="A6" s="7" t="inlineStr">
        <is>
          <t>자동화 설비 기능사</t>
        </is>
      </c>
      <c r="B6" s="14" t="n">
        <v>0</v>
      </c>
      <c r="AA6">
        <f>LEN(A6)</f>
        <v/>
      </c>
      <c r="AB6">
        <f>AND(_xlfn.ISFORMULA(B6),IFERROR(ROUND(B6,4)=ROUND(AA6,4),EXACT(B6,AA6)))</f>
        <v/>
      </c>
    </row>
    <row r="7" ht="24" customHeight="1">
      <c r="A7" s="7" t="inlineStr">
        <is>
          <t>A</t>
        </is>
      </c>
      <c r="B7" s="14" t="n">
        <v>0</v>
      </c>
      <c r="H7" s="12" t="inlineStr">
        <is>
          <t>채점</t>
        </is>
      </c>
      <c r="I7" s="17">
        <f>IF(NOT(_xlfn.ISFORMULA(B2)),"↖ 0 지우고 수식",IF(COUNTIF(AB2:AB7,TRUE)=6,"✔ 맞음","✘ 다시 ("&amp;COUNTIF(AB2:AB7,TRUE)&amp;" / 6칸)"))</f>
        <v/>
      </c>
      <c r="J7" s="18" t="n"/>
      <c r="K7" s="18" t="n"/>
      <c r="AA7">
        <f>LEN(A7)</f>
        <v/>
      </c>
      <c r="AB7">
        <f>AND(_xlfn.ISFORMULA(B7),IFERROR(ROUND(B7,4)=ROUND(AA7,4),EXACT(B7,AA7)))</f>
        <v/>
      </c>
    </row>
    <row r="8" ht="18" customHeight="1">
      <c r="H8" s="19" t="inlineStr">
        <is>
          <t>칸마다 따로 채점합니다. 첫 칸만 맞고 아래가 틀리면 — 끌어내릴 때 움직이면 안 되는 주소에 $ 가 있는지 보세요.</t>
        </is>
      </c>
    </row>
    <row r="9" ht="18" customHeight="1"/>
    <row r="11" ht="18" customHeight="1">
      <c r="H11" s="20" t="inlineStr">
        <is>
          <t>💡 막히면: LEN(문자열)</t>
        </is>
      </c>
    </row>
    <row r="12" ht="18" customHeight="1"/>
  </sheetData>
  <mergeCells count="6">
    <mergeCell ref="H11:N12"/>
    <mergeCell ref="H5:N6"/>
    <mergeCell ref="H8:N9"/>
    <mergeCell ref="H2:N4"/>
    <mergeCell ref="H1:N1"/>
    <mergeCell ref="I7:K7"/>
  </mergeCells>
  <conditionalFormatting sqref="I7">
    <cfRule type="expression" priority="1" dxfId="0">
      <formula>ISNUMBER(SEARCH("맞",I7))</formula>
    </cfRule>
    <cfRule type="expression" priority="2" dxfId="1">
      <formula>ISNUMBER(SEARCH("다시",I7))</formula>
    </cfRule>
  </conditionalFormatting>
  <printOptions horizontalCentered="1"/>
  <pageMargins left="0.3" right="0.3" top="0.4" bottom="0.4" header="0.5" footer="0.5"/>
  <pageSetup orientation="landscape" paperSize="9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AB12"/>
  <sheetViews>
    <sheetView showGridLines="1"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14" customWidth="1" min="3" max="3"/>
    <col width="3" customWidth="1" min="4" max="4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hidden="1" width="13" customWidth="1" min="27" max="27"/>
    <col hidden="1" width="13" customWidth="1" min="28" max="28"/>
  </cols>
  <sheetData>
    <row r="1" ht="24" customHeight="1">
      <c r="A1" s="12" t="inlineStr">
        <is>
          <t>이름</t>
        </is>
      </c>
      <c r="B1" s="12" t="inlineStr">
        <is>
          <t>직급</t>
        </is>
      </c>
      <c r="C1" s="12" t="inlineStr">
        <is>
          <t>호칭</t>
        </is>
      </c>
      <c r="H1" s="13" t="inlineStr">
        <is>
          <t>5번 · 문자 연결하기</t>
        </is>
      </c>
    </row>
    <row r="2" ht="22" customHeight="1">
      <c r="A2" s="7" t="inlineStr">
        <is>
          <t>김하늘</t>
        </is>
      </c>
      <c r="B2" s="7" t="inlineStr">
        <is>
          <t>대리</t>
        </is>
      </c>
      <c r="C2" s="14" t="n">
        <v>0</v>
      </c>
      <c r="H2" s="15" t="inlineStr">
        <is>
          <t>이름[A2:A6]과 직급[B2:B6]을 이어 "김하늘 대리"처럼 [C2:C6]에 표시하시오. (사이에 공백 한 칸)</t>
        </is>
      </c>
      <c r="AA2">
        <f>A2&amp;" "&amp;B2</f>
        <v/>
      </c>
      <c r="AB2">
        <f>AND(_xlfn.ISFORMULA(C2),IFERROR(ROUND(C2,4)=ROUND(AA2,4),EXACT(C2,AA2)))</f>
        <v/>
      </c>
    </row>
    <row r="3" ht="22" customHeight="1">
      <c r="A3" s="7" t="inlineStr">
        <is>
          <t>이바다</t>
        </is>
      </c>
      <c r="B3" s="7" t="inlineStr">
        <is>
          <t>사원</t>
        </is>
      </c>
      <c r="C3" s="14" t="n">
        <v>0</v>
      </c>
      <c r="AA3">
        <f>A3&amp;" "&amp;B3</f>
        <v/>
      </c>
      <c r="AB3">
        <f>AND(_xlfn.ISFORMULA(C3),IFERROR(ROUND(C3,4)=ROUND(AA3,4),EXACT(C3,AA3)))</f>
        <v/>
      </c>
    </row>
    <row r="4" ht="22" customHeight="1">
      <c r="A4" s="7" t="inlineStr">
        <is>
          <t>박구름</t>
        </is>
      </c>
      <c r="B4" s="7" t="inlineStr">
        <is>
          <t>과장</t>
        </is>
      </c>
      <c r="C4" s="14" t="n">
        <v>0</v>
      </c>
      <c r="AA4">
        <f>A4&amp;" "&amp;B4</f>
        <v/>
      </c>
      <c r="AB4">
        <f>AND(_xlfn.ISFORMULA(C4),IFERROR(ROUND(C4,4)=ROUND(AA4,4),EXACT(C4,AA4)))</f>
        <v/>
      </c>
    </row>
    <row r="5" ht="20" customHeight="1">
      <c r="A5" s="7" t="inlineStr">
        <is>
          <t>최나무</t>
        </is>
      </c>
      <c r="B5" s="7" t="inlineStr">
        <is>
          <t>부장</t>
        </is>
      </c>
      <c r="C5" s="14" t="n">
        <v>0</v>
      </c>
      <c r="H5" s="16" t="inlineStr">
        <is>
          <t>① C2 의 0 을 지우고 수식을 넣습니다.
② 채우기 핸들(칸 오른쪽 아래 ■)을 C6 까지 끌어내립니다.</t>
        </is>
      </c>
      <c r="AA5">
        <f>A5&amp;" "&amp;B5</f>
        <v/>
      </c>
      <c r="AB5">
        <f>AND(_xlfn.ISFORMULA(C5),IFERROR(ROUND(C5,4)=ROUND(AA5,4),EXACT(C5,AA5)))</f>
        <v/>
      </c>
    </row>
    <row r="6" ht="20" customHeight="1">
      <c r="A6" s="7" t="inlineStr">
        <is>
          <t>정새벽</t>
        </is>
      </c>
      <c r="B6" s="7" t="inlineStr">
        <is>
          <t>주임</t>
        </is>
      </c>
      <c r="C6" s="14" t="n">
        <v>0</v>
      </c>
      <c r="AA6">
        <f>A6&amp;" "&amp;B6</f>
        <v/>
      </c>
      <c r="AB6">
        <f>AND(_xlfn.ISFORMULA(C6),IFERROR(ROUND(C6,4)=ROUND(AA6,4),EXACT(C6,AA6)))</f>
        <v/>
      </c>
    </row>
    <row r="7" ht="24" customHeight="1">
      <c r="H7" s="12" t="inlineStr">
        <is>
          <t>채점</t>
        </is>
      </c>
      <c r="I7" s="17">
        <f>IF(NOT(_xlfn.ISFORMULA(C2)),"↖ 0 지우고 수식",IF(COUNTIF(AB2:AB6,TRUE)=5,"✔ 맞음","✘ 다시 ("&amp;COUNTIF(AB2:AB6,TRUE)&amp;" / 5칸)"))</f>
        <v/>
      </c>
      <c r="J7" s="18" t="n"/>
      <c r="K7" s="18" t="n"/>
    </row>
    <row r="8" ht="18" customHeight="1">
      <c r="H8" s="19" t="inlineStr">
        <is>
          <t>칸마다 따로 채점합니다. 첫 칸만 맞고 아래가 틀리면 — 끌어내릴 때 움직이면 안 되는 주소에 $ 가 있는지 보세요.</t>
        </is>
      </c>
    </row>
    <row r="9" ht="18" customHeight="1"/>
    <row r="11" ht="18" customHeight="1">
      <c r="H11" s="20" t="inlineStr">
        <is>
          <t>💡 막히면: &amp; 로 문자를 이어 붙입니다. 공백도 " " 로 넣습니다.</t>
        </is>
      </c>
    </row>
    <row r="12" ht="18" customHeight="1"/>
  </sheetData>
  <mergeCells count="6">
    <mergeCell ref="H11:N12"/>
    <mergeCell ref="H5:N6"/>
    <mergeCell ref="H8:N9"/>
    <mergeCell ref="H2:N4"/>
    <mergeCell ref="H1:N1"/>
    <mergeCell ref="I7:K7"/>
  </mergeCells>
  <conditionalFormatting sqref="I7">
    <cfRule type="expression" priority="1" dxfId="0">
      <formula>ISNUMBER(SEARCH("맞",I7))</formula>
    </cfRule>
    <cfRule type="expression" priority="2" dxfId="1">
      <formula>ISNUMBER(SEARCH("다시",I7))</formula>
    </cfRule>
  </conditionalFormatting>
  <printOptions horizontalCentered="1"/>
  <pageMargins left="0.3" right="0.3" top="0.4" bottom="0.4" header="0.5" footer="0.5"/>
  <pageSetup orientation="landscape" paperSize="9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AB12"/>
  <sheetViews>
    <sheetView showGridLines="1"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14" customWidth="1" min="3" max="3"/>
    <col width="3" customWidth="1" min="4" max="4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hidden="1" width="13" customWidth="1" min="27" max="27"/>
    <col hidden="1" width="13" customWidth="1" min="28" max="28"/>
  </cols>
  <sheetData>
    <row r="1" ht="24" customHeight="1">
      <c r="A1" s="12" t="inlineStr">
        <is>
          <t>제품</t>
        </is>
      </c>
      <c r="B1" s="12" t="inlineStr">
        <is>
          <t>규격</t>
        </is>
      </c>
      <c r="C1" s="12" t="inlineStr">
        <is>
          <t>표기</t>
        </is>
      </c>
      <c r="H1" s="13" t="inlineStr">
        <is>
          <t>6번 · 괄호로 묶어 표시</t>
        </is>
      </c>
    </row>
    <row r="2" ht="22" customHeight="1">
      <c r="A2" s="7" t="inlineStr">
        <is>
          <t>모니터</t>
        </is>
      </c>
      <c r="B2" s="7" t="inlineStr">
        <is>
          <t>27인치</t>
        </is>
      </c>
      <c r="C2" s="14" t="n">
        <v>0</v>
      </c>
      <c r="H2" s="15" t="inlineStr">
        <is>
          <t>제품[A2:A6]과 규격[B2:B6]을 "모니터(27인치)" 형태로 [C2:C6]에 표시하시오.</t>
        </is>
      </c>
      <c r="AA2">
        <f>A2&amp;"("&amp;B2&amp;")"</f>
        <v/>
      </c>
      <c r="AB2">
        <f>AND(_xlfn.ISFORMULA(C2),IFERROR(ROUND(C2,4)=ROUND(AA2,4),EXACT(C2,AA2)))</f>
        <v/>
      </c>
    </row>
    <row r="3" ht="22" customHeight="1">
      <c r="A3" s="7" t="inlineStr">
        <is>
          <t>키보드</t>
        </is>
      </c>
      <c r="B3" s="7" t="inlineStr">
        <is>
          <t>104키</t>
        </is>
      </c>
      <c r="C3" s="14" t="n">
        <v>0</v>
      </c>
      <c r="AA3">
        <f>A3&amp;"("&amp;B3&amp;")"</f>
        <v/>
      </c>
      <c r="AB3">
        <f>AND(_xlfn.ISFORMULA(C3),IFERROR(ROUND(C3,4)=ROUND(AA3,4),EXACT(C3,AA3)))</f>
        <v/>
      </c>
    </row>
    <row r="4" ht="22" customHeight="1">
      <c r="A4" s="7" t="inlineStr">
        <is>
          <t>마우스</t>
        </is>
      </c>
      <c r="B4" s="7" t="inlineStr">
        <is>
          <t>무선</t>
        </is>
      </c>
      <c r="C4" s="14" t="n">
        <v>0</v>
      </c>
      <c r="AA4">
        <f>A4&amp;"("&amp;B4&amp;")"</f>
        <v/>
      </c>
      <c r="AB4">
        <f>AND(_xlfn.ISFORMULA(C4),IFERROR(ROUND(C4,4)=ROUND(AA4,4),EXACT(C4,AA4)))</f>
        <v/>
      </c>
    </row>
    <row r="5" ht="20" customHeight="1">
      <c r="A5" s="7" t="inlineStr">
        <is>
          <t>공구함</t>
        </is>
      </c>
      <c r="B5" s="7" t="inlineStr">
        <is>
          <t>3단</t>
        </is>
      </c>
      <c r="C5" s="14" t="n">
        <v>0</v>
      </c>
      <c r="H5" s="16" t="inlineStr">
        <is>
          <t>① C2 의 0 을 지우고 수식을 넣습니다.
② 채우기 핸들(칸 오른쪽 아래 ■)을 C6 까지 끌어내립니다.</t>
        </is>
      </c>
      <c r="AA5">
        <f>A5&amp;"("&amp;B5&amp;")"</f>
        <v/>
      </c>
      <c r="AB5">
        <f>AND(_xlfn.ISFORMULA(C5),IFERROR(ROUND(C5,4)=ROUND(AA5,4),EXACT(C5,AA5)))</f>
        <v/>
      </c>
    </row>
    <row r="6" ht="20" customHeight="1">
      <c r="A6" s="7" t="inlineStr">
        <is>
          <t>베어링</t>
        </is>
      </c>
      <c r="B6" s="7" t="inlineStr">
        <is>
          <t>6205</t>
        </is>
      </c>
      <c r="C6" s="14" t="n">
        <v>0</v>
      </c>
      <c r="AA6">
        <f>A6&amp;"("&amp;B6&amp;")"</f>
        <v/>
      </c>
      <c r="AB6">
        <f>AND(_xlfn.ISFORMULA(C6),IFERROR(ROUND(C6,4)=ROUND(AA6,4),EXACT(C6,AA6)))</f>
        <v/>
      </c>
    </row>
    <row r="7" ht="24" customHeight="1">
      <c r="H7" s="12" t="inlineStr">
        <is>
          <t>채점</t>
        </is>
      </c>
      <c r="I7" s="17">
        <f>IF(NOT(_xlfn.ISFORMULA(C2)),"↖ 0 지우고 수식",IF(COUNTIF(AB2:AB6,TRUE)=5,"✔ 맞음","✘ 다시 ("&amp;COUNTIF(AB2:AB6,TRUE)&amp;" / 5칸)"))</f>
        <v/>
      </c>
      <c r="J7" s="18" t="n"/>
      <c r="K7" s="18" t="n"/>
    </row>
    <row r="8" ht="18" customHeight="1">
      <c r="H8" s="19" t="inlineStr">
        <is>
          <t>칸마다 따로 채점합니다. 첫 칸만 맞고 아래가 틀리면 — 끌어내릴 때 움직이면 안 되는 주소에 $ 가 있는지 보세요.</t>
        </is>
      </c>
    </row>
    <row r="9" ht="18" customHeight="1"/>
    <row r="11" ht="18" customHeight="1">
      <c r="H11" s="20" t="inlineStr">
        <is>
          <t>💡 막히면: 문자 상수는 큰따옴표로 감싸 &amp; 로 연결합니다.</t>
        </is>
      </c>
    </row>
    <row r="12" ht="18" customHeight="1"/>
  </sheetData>
  <mergeCells count="6">
    <mergeCell ref="H11:N12"/>
    <mergeCell ref="H5:N6"/>
    <mergeCell ref="H8:N9"/>
    <mergeCell ref="H2:N4"/>
    <mergeCell ref="H1:N1"/>
    <mergeCell ref="I7:K7"/>
  </mergeCells>
  <conditionalFormatting sqref="I7">
    <cfRule type="expression" priority="1" dxfId="0">
      <formula>ISNUMBER(SEARCH("맞",I7))</formula>
    </cfRule>
    <cfRule type="expression" priority="2" dxfId="1">
      <formula>ISNUMBER(SEARCH("다시",I7))</formula>
    </cfRule>
  </conditionalFormatting>
  <printOptions horizontalCentered="1"/>
  <pageMargins left="0.3" right="0.3" top="0.4" bottom="0.4" header="0.5" footer="0.5"/>
  <pageSetup orientation="landscape" paperSize="9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AB12"/>
  <sheetViews>
    <sheetView showGridLines="1" workbookViewId="0">
      <selection activeCell="A1" sqref="A1"/>
    </sheetView>
  </sheetViews>
  <sheetFormatPr baseColWidth="8" defaultRowHeight="15"/>
  <cols>
    <col width="11" customWidth="1" min="1" max="1"/>
    <col width="14" customWidth="1" min="2" max="2"/>
    <col width="3" customWidth="1" min="3" max="3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hidden="1" width="13" customWidth="1" min="27" max="27"/>
    <col hidden="1" width="13" customWidth="1" min="28" max="28"/>
  </cols>
  <sheetData>
    <row r="1" ht="24" customHeight="1">
      <c r="A1" s="12" t="inlineStr">
        <is>
          <t>코드</t>
        </is>
      </c>
      <c r="B1" s="12" t="inlineStr">
        <is>
          <t>대문자</t>
        </is>
      </c>
      <c r="H1" s="13" t="inlineStr">
        <is>
          <t>7번 · 대문자로 바꾸기</t>
        </is>
      </c>
    </row>
    <row r="2" ht="22" customHeight="1">
      <c r="A2" s="7" t="inlineStr">
        <is>
          <t>ab-102x</t>
        </is>
      </c>
      <c r="B2" s="14" t="n">
        <v>0</v>
      </c>
      <c r="H2" s="15" t="inlineStr">
        <is>
          <t>코드[A2:A7]를 모두 대문자로 바꾸어 [B2:B7]에 표시하시오.</t>
        </is>
      </c>
      <c r="AA2">
        <f>UPPER(A2)</f>
        <v/>
      </c>
      <c r="AB2">
        <f>AND(_xlfn.ISFORMULA(B2),IFERROR(ROUND(B2,4)=ROUND(AA2,4),EXACT(B2,AA2)))</f>
        <v/>
      </c>
    </row>
    <row r="3" ht="22" customHeight="1">
      <c r="A3" s="7" t="inlineStr">
        <is>
          <t>cnc-7a</t>
        </is>
      </c>
      <c r="B3" s="14" t="n">
        <v>0</v>
      </c>
      <c r="AA3">
        <f>UPPER(A3)</f>
        <v/>
      </c>
      <c r="AB3">
        <f>AND(_xlfn.ISFORMULA(B3),IFERROR(ROUND(B3,4)=ROUND(AA3,4),EXACT(B3,AA3)))</f>
        <v/>
      </c>
    </row>
    <row r="4" ht="22" customHeight="1">
      <c r="A4" s="7" t="inlineStr">
        <is>
          <t>Plc-01</t>
        </is>
      </c>
      <c r="B4" s="14" t="n">
        <v>0</v>
      </c>
      <c r="AA4">
        <f>UPPER(A4)</f>
        <v/>
      </c>
      <c r="AB4">
        <f>AND(_xlfn.ISFORMULA(B4),IFERROR(ROUND(B4,4)=ROUND(AA4,4),EXACT(B4,AA4)))</f>
        <v/>
      </c>
    </row>
    <row r="5" ht="20" customHeight="1">
      <c r="A5" s="7" t="inlineStr">
        <is>
          <t>XY-99</t>
        </is>
      </c>
      <c r="B5" s="14" t="n">
        <v>0</v>
      </c>
      <c r="H5" s="16" t="inlineStr">
        <is>
          <t>① B2 의 0 을 지우고 수식을 넣습니다.
② 채우기 핸들(칸 오른쪽 아래 ■)을 B7 까지 끌어내립니다.</t>
        </is>
      </c>
      <c r="AA5">
        <f>UPPER(A5)</f>
        <v/>
      </c>
      <c r="AB5">
        <f>AND(_xlfn.ISFORMULA(B5),IFERROR(ROUND(B5,4)=ROUND(AA5,4),EXACT(B5,AA5)))</f>
        <v/>
      </c>
    </row>
    <row r="6" ht="20" customHeight="1">
      <c r="A6" s="7" t="inlineStr">
        <is>
          <t>robot-arm</t>
        </is>
      </c>
      <c r="B6" s="14" t="n">
        <v>0</v>
      </c>
      <c r="AA6">
        <f>UPPER(A6)</f>
        <v/>
      </c>
      <c r="AB6">
        <f>AND(_xlfn.ISFORMULA(B6),IFERROR(ROUND(B6,4)=ROUND(AA6,4),EXACT(B6,AA6)))</f>
        <v/>
      </c>
    </row>
    <row r="7" ht="24" customHeight="1">
      <c r="A7" s="7" t="inlineStr">
        <is>
          <t>a1b2</t>
        </is>
      </c>
      <c r="B7" s="14" t="n">
        <v>0</v>
      </c>
      <c r="H7" s="12" t="inlineStr">
        <is>
          <t>채점</t>
        </is>
      </c>
      <c r="I7" s="17">
        <f>IF(NOT(_xlfn.ISFORMULA(B2)),"↖ 0 지우고 수식",IF(COUNTIF(AB2:AB7,TRUE)=6,"✔ 맞음","✘ 다시 ("&amp;COUNTIF(AB2:AB7,TRUE)&amp;" / 6칸)"))</f>
        <v/>
      </c>
      <c r="J7" s="18" t="n"/>
      <c r="K7" s="18" t="n"/>
      <c r="AA7">
        <f>UPPER(A7)</f>
        <v/>
      </c>
      <c r="AB7">
        <f>AND(_xlfn.ISFORMULA(B7),IFERROR(ROUND(B7,4)=ROUND(AA7,4),EXACT(B7,AA7)))</f>
        <v/>
      </c>
    </row>
    <row r="8" ht="18" customHeight="1">
      <c r="H8" s="19" t="inlineStr">
        <is>
          <t>칸마다 따로 채점합니다. 첫 칸만 맞고 아래가 틀리면 — 끌어내릴 때 움직이면 안 되는 주소에 $ 가 있는지 보세요.</t>
        </is>
      </c>
    </row>
    <row r="9" ht="18" customHeight="1"/>
    <row r="11" ht="18" customHeight="1">
      <c r="H11" s="20" t="inlineStr">
        <is>
          <t>💡 막히면: UPPER(문자열). 소문자는 LOWER, 첫 글자만 대문자는 PROPER.</t>
        </is>
      </c>
    </row>
    <row r="12" ht="18" customHeight="1"/>
  </sheetData>
  <mergeCells count="6">
    <mergeCell ref="H11:N12"/>
    <mergeCell ref="H5:N6"/>
    <mergeCell ref="H8:N9"/>
    <mergeCell ref="H2:N4"/>
    <mergeCell ref="H1:N1"/>
    <mergeCell ref="I7:K7"/>
  </mergeCells>
  <conditionalFormatting sqref="I7">
    <cfRule type="expression" priority="1" dxfId="0">
      <formula>ISNUMBER(SEARCH("맞",I7))</formula>
    </cfRule>
    <cfRule type="expression" priority="2" dxfId="1">
      <formula>ISNUMBER(SEARCH("다시",I7))</formula>
    </cfRule>
  </conditionalFormatting>
  <printOptions horizontalCentered="1"/>
  <pageMargins left="0.3" right="0.3" top="0.4" bottom="0.4" header="0.5" footer="0.5"/>
  <pageSetup orientation="landscape" paperSize="9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AB12"/>
  <sheetViews>
    <sheetView showGridLines="1" workbookViewId="0">
      <selection activeCell="A1" sqref="A1"/>
    </sheetView>
  </sheetViews>
  <sheetFormatPr baseColWidth="8" defaultRowHeight="15"/>
  <cols>
    <col width="11" customWidth="1" min="1" max="1"/>
    <col width="14" customWidth="1" min="2" max="2"/>
    <col width="3" customWidth="1" min="3" max="3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hidden="1" width="13" customWidth="1" min="27" max="27"/>
    <col hidden="1" width="13" customWidth="1" min="28" max="28"/>
  </cols>
  <sheetData>
    <row r="1" ht="24" customHeight="1">
      <c r="A1" s="12" t="inlineStr">
        <is>
          <t>이름</t>
        </is>
      </c>
      <c r="B1" s="12" t="inlineStr">
        <is>
          <t>표기</t>
        </is>
      </c>
      <c r="H1" s="13" t="inlineStr">
        <is>
          <t>8번 · 첫 글자만 대문자</t>
        </is>
      </c>
    </row>
    <row r="2" ht="22" customHeight="1">
      <c r="A2" s="7" t="inlineStr">
        <is>
          <t>hong gil dong</t>
        </is>
      </c>
      <c r="B2" s="14" t="n">
        <v>0</v>
      </c>
      <c r="H2" s="15" t="inlineStr">
        <is>
          <t>이름[A2:A7]을 각 단어의 첫 글자만 대문자로 바꾸어 [B2:B7]에 표시하시오.</t>
        </is>
      </c>
      <c r="AA2">
        <f>PROPER(A2)</f>
        <v/>
      </c>
      <c r="AB2">
        <f>AND(_xlfn.ISFORMULA(B2),IFERROR(ROUND(B2,4)=ROUND(AA2,4),EXACT(B2,AA2)))</f>
        <v/>
      </c>
    </row>
    <row r="3" ht="22" customHeight="1">
      <c r="A3" s="7" t="inlineStr">
        <is>
          <t>kim ha neul</t>
        </is>
      </c>
      <c r="B3" s="14" t="n">
        <v>0</v>
      </c>
      <c r="AA3">
        <f>PROPER(A3)</f>
        <v/>
      </c>
      <c r="AB3">
        <f>AND(_xlfn.ISFORMULA(B3),IFERROR(ROUND(B3,4)=ROUND(AA3,4),EXACT(B3,AA3)))</f>
        <v/>
      </c>
    </row>
    <row r="4" ht="22" customHeight="1">
      <c r="A4" s="7" t="inlineStr">
        <is>
          <t>LEE BADA</t>
        </is>
      </c>
      <c r="B4" s="14" t="n">
        <v>0</v>
      </c>
      <c r="AA4">
        <f>PROPER(A4)</f>
        <v/>
      </c>
      <c r="AB4">
        <f>AND(_xlfn.ISFORMULA(B4),IFERROR(ROUND(B4,4)=ROUND(AA4,4),EXACT(B4,AA4)))</f>
        <v/>
      </c>
    </row>
    <row r="5" ht="20" customHeight="1">
      <c r="A5" s="7" t="inlineStr">
        <is>
          <t>park Gu Reum</t>
        </is>
      </c>
      <c r="B5" s="14" t="n">
        <v>0</v>
      </c>
      <c r="H5" s="16" t="inlineStr">
        <is>
          <t>① B2 의 0 을 지우고 수식을 넣습니다.
② 채우기 핸들(칸 오른쪽 아래 ■)을 B7 까지 끌어내립니다.</t>
        </is>
      </c>
      <c r="AA5">
        <f>PROPER(A5)</f>
        <v/>
      </c>
      <c r="AB5">
        <f>AND(_xlfn.ISFORMULA(B5),IFERROR(ROUND(B5,4)=ROUND(AA5,4),EXACT(B5,AA5)))</f>
        <v/>
      </c>
    </row>
    <row r="6" ht="20" customHeight="1">
      <c r="A6" s="7" t="inlineStr">
        <is>
          <t>choi star</t>
        </is>
      </c>
      <c r="B6" s="14" t="n">
        <v>0</v>
      </c>
      <c r="AA6">
        <f>PROPER(A6)</f>
        <v/>
      </c>
      <c r="AB6">
        <f>AND(_xlfn.ISFORMULA(B6),IFERROR(ROUND(B6,4)=ROUND(AA6,4),EXACT(B6,AA6)))</f>
        <v/>
      </c>
    </row>
    <row r="7" ht="24" customHeight="1">
      <c r="A7" s="7" t="inlineStr">
        <is>
          <t>jung sae byeok</t>
        </is>
      </c>
      <c r="B7" s="14" t="n">
        <v>0</v>
      </c>
      <c r="H7" s="12" t="inlineStr">
        <is>
          <t>채점</t>
        </is>
      </c>
      <c r="I7" s="17">
        <f>IF(NOT(_xlfn.ISFORMULA(B2)),"↖ 0 지우고 수식",IF(COUNTIF(AB2:AB7,TRUE)=6,"✔ 맞음","✘ 다시 ("&amp;COUNTIF(AB2:AB7,TRUE)&amp;" / 6칸)"))</f>
        <v/>
      </c>
      <c r="J7" s="18" t="n"/>
      <c r="K7" s="18" t="n"/>
      <c r="AA7">
        <f>PROPER(A7)</f>
        <v/>
      </c>
      <c r="AB7">
        <f>AND(_xlfn.ISFORMULA(B7),IFERROR(ROUND(B7,4)=ROUND(AA7,4),EXACT(B7,AA7)))</f>
        <v/>
      </c>
    </row>
    <row r="8" ht="18" customHeight="1">
      <c r="H8" s="19" t="inlineStr">
        <is>
          <t>칸마다 따로 채점합니다. 첫 칸만 맞고 아래가 틀리면 — 끌어내릴 때 움직이면 안 되는 주소에 $ 가 있는지 보세요.</t>
        </is>
      </c>
    </row>
    <row r="9" ht="18" customHeight="1"/>
    <row r="11" ht="18" customHeight="1">
      <c r="H11" s="20" t="inlineStr">
        <is>
          <t>💡 막히면: PROPER(문자열)</t>
        </is>
      </c>
    </row>
    <row r="12" ht="18" customHeight="1"/>
  </sheetData>
  <mergeCells count="6">
    <mergeCell ref="H11:N12"/>
    <mergeCell ref="H5:N6"/>
    <mergeCell ref="H8:N9"/>
    <mergeCell ref="H2:N4"/>
    <mergeCell ref="H1:N1"/>
    <mergeCell ref="I7:K7"/>
  </mergeCells>
  <conditionalFormatting sqref="I7">
    <cfRule type="expression" priority="1" dxfId="0">
      <formula>ISNUMBER(SEARCH("맞",I7))</formula>
    </cfRule>
    <cfRule type="expression" priority="2" dxfId="1">
      <formula>ISNUMBER(SEARCH("다시",I7))</formula>
    </cfRule>
  </conditionalFormatting>
  <printOptions horizontalCentered="1"/>
  <pageMargins left="0.3" right="0.3" top="0.4" bottom="0.4" header="0.5" footer="0.5"/>
  <pageSetup orientation="landscape" paperSize="9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AB12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3" customWidth="1" min="3" max="3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hidden="1" width="13" customWidth="1" min="27" max="27"/>
    <col hidden="1" width="13" customWidth="1" min="28" max="28"/>
  </cols>
  <sheetData>
    <row r="1" ht="24" customHeight="1">
      <c r="A1" s="12" t="inlineStr">
        <is>
          <t>전화번호</t>
        </is>
      </c>
      <c r="B1" s="12" t="inlineStr">
        <is>
          <t>표시</t>
        </is>
      </c>
      <c r="H1" s="13" t="inlineStr">
        <is>
          <t>9번 · 일부를 *로 가리기</t>
        </is>
      </c>
    </row>
    <row r="2" ht="22" customHeight="1">
      <c r="A2" s="7" t="inlineStr">
        <is>
          <t>0101234567</t>
        </is>
      </c>
      <c r="B2" s="14" t="n">
        <v>0</v>
      </c>
      <c r="H2" s="15" t="inlineStr">
        <is>
          <t>전화번호[A2:A7]의 4번째부터 4글자를 "****"로 바꾸어 [B2:B7]에 표시하시오.</t>
        </is>
      </c>
      <c r="AA2">
        <f>REPLACE(A2,4,4,"****")</f>
        <v/>
      </c>
      <c r="AB2">
        <f>AND(_xlfn.ISFORMULA(B2),IFERROR(ROUND(B2,4)=ROUND(AA2,4),EXACT(B2,AA2)))</f>
        <v/>
      </c>
    </row>
    <row r="3" ht="22" customHeight="1">
      <c r="A3" s="7" t="inlineStr">
        <is>
          <t>0109876543</t>
        </is>
      </c>
      <c r="B3" s="14" t="n">
        <v>0</v>
      </c>
      <c r="AA3">
        <f>REPLACE(A3,4,4,"****")</f>
        <v/>
      </c>
      <c r="AB3">
        <f>AND(_xlfn.ISFORMULA(B3),IFERROR(ROUND(B3,4)=ROUND(AA3,4),EXACT(B3,AA3)))</f>
        <v/>
      </c>
    </row>
    <row r="4" ht="22" customHeight="1">
      <c r="A4" s="7" t="inlineStr">
        <is>
          <t>0115551234</t>
        </is>
      </c>
      <c r="B4" s="14" t="n">
        <v>0</v>
      </c>
      <c r="AA4">
        <f>REPLACE(A4,4,4,"****")</f>
        <v/>
      </c>
      <c r="AB4">
        <f>AND(_xlfn.ISFORMULA(B4),IFERROR(ROUND(B4,4)=ROUND(AA4,4),EXACT(B4,AA4)))</f>
        <v/>
      </c>
    </row>
    <row r="5" ht="20" customHeight="1">
      <c r="A5" s="7" t="inlineStr">
        <is>
          <t>0102468013</t>
        </is>
      </c>
      <c r="B5" s="14" t="n">
        <v>0</v>
      </c>
      <c r="H5" s="16" t="inlineStr">
        <is>
          <t>① B2 의 0 을 지우고 수식을 넣습니다.
② 채우기 핸들(칸 오른쪽 아래 ■)을 B7 까지 끌어내립니다.</t>
        </is>
      </c>
      <c r="AA5">
        <f>REPLACE(A5,4,4,"****")</f>
        <v/>
      </c>
      <c r="AB5">
        <f>AND(_xlfn.ISFORMULA(B5),IFERROR(ROUND(B5,4)=ROUND(AA5,4),EXACT(B5,AA5)))</f>
        <v/>
      </c>
    </row>
    <row r="6" ht="20" customHeight="1">
      <c r="A6" s="7" t="inlineStr">
        <is>
          <t>0167770000</t>
        </is>
      </c>
      <c r="B6" s="14" t="n">
        <v>0</v>
      </c>
      <c r="AA6">
        <f>REPLACE(A6,4,4,"****")</f>
        <v/>
      </c>
      <c r="AB6">
        <f>AND(_xlfn.ISFORMULA(B6),IFERROR(ROUND(B6,4)=ROUND(AA6,4),EXACT(B6,AA6)))</f>
        <v/>
      </c>
    </row>
    <row r="7" ht="24" customHeight="1">
      <c r="A7" s="7" t="inlineStr">
        <is>
          <t>0103141592</t>
        </is>
      </c>
      <c r="B7" s="14" t="n">
        <v>0</v>
      </c>
      <c r="H7" s="12" t="inlineStr">
        <is>
          <t>채점</t>
        </is>
      </c>
      <c r="I7" s="17">
        <f>IF(NOT(_xlfn.ISFORMULA(B2)),"↖ 0 지우고 수식",IF(COUNTIF(AB2:AB7,TRUE)=6,"✔ 맞음","✘ 다시 ("&amp;COUNTIF(AB2:AB7,TRUE)&amp;" / 6칸)"))</f>
        <v/>
      </c>
      <c r="J7" s="18" t="n"/>
      <c r="K7" s="18" t="n"/>
      <c r="AA7">
        <f>REPLACE(A7,4,4,"****")</f>
        <v/>
      </c>
      <c r="AB7">
        <f>AND(_xlfn.ISFORMULA(B7),IFERROR(ROUND(B7,4)=ROUND(AA7,4),EXACT(B7,AA7)))</f>
        <v/>
      </c>
    </row>
    <row r="8" ht="18" customHeight="1">
      <c r="H8" s="19" t="inlineStr">
        <is>
          <t>칸마다 따로 채점합니다. 첫 칸만 맞고 아래가 틀리면 — 끌어내릴 때 움직이면 안 되는 주소에 $ 가 있는지 보세요.</t>
        </is>
      </c>
    </row>
    <row r="9" ht="18" customHeight="1"/>
    <row r="11" ht="18" customHeight="1">
      <c r="H11" s="20" t="inlineStr">
        <is>
          <t>💡 막히면: REPLACE(문자열, 시작위치, 바꿀 글자수, 새 문자열)</t>
        </is>
      </c>
    </row>
    <row r="12" ht="18" customHeight="1"/>
  </sheetData>
  <mergeCells count="6">
    <mergeCell ref="H11:N12"/>
    <mergeCell ref="H5:N6"/>
    <mergeCell ref="H8:N9"/>
    <mergeCell ref="H2:N4"/>
    <mergeCell ref="H1:N1"/>
    <mergeCell ref="I7:K7"/>
  </mergeCells>
  <conditionalFormatting sqref="I7">
    <cfRule type="expression" priority="1" dxfId="0">
      <formula>ISNUMBER(SEARCH("맞",I7))</formula>
    </cfRule>
    <cfRule type="expression" priority="2" dxfId="1">
      <formula>ISNUMBER(SEARCH("다시",I7))</formula>
    </cfRule>
  </conditionalFormatting>
  <printOptions horizontalCentered="1"/>
  <pageMargins left="0.3" right="0.3" top="0.4" bottom="0.4" header="0.5" footer="0.5"/>
  <pageSetup orientation="landscape" paperSize="9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AB12"/>
  <sheetViews>
    <sheetView showGridLines="1" workbookViewId="0">
      <selection activeCell="A1" sqref="A1"/>
    </sheetView>
  </sheetViews>
  <sheetFormatPr baseColWidth="8" defaultRowHeight="15"/>
  <cols>
    <col width="11" customWidth="1" min="1" max="1"/>
    <col width="14" customWidth="1" min="2" max="2"/>
    <col width="3" customWidth="1" min="3" max="3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hidden="1" width="13" customWidth="1" min="27" max="27"/>
    <col hidden="1" width="13" customWidth="1" min="28" max="28"/>
  </cols>
  <sheetData>
    <row r="1" ht="24" customHeight="1">
      <c r="A1" s="12" t="inlineStr">
        <is>
          <t>코드</t>
        </is>
      </c>
      <c r="B1" s="12" t="inlineStr">
        <is>
          <t>- 위치</t>
        </is>
      </c>
      <c r="H1" s="13" t="inlineStr">
        <is>
          <t>10번 · 문자 위치 찾기</t>
        </is>
      </c>
    </row>
    <row r="2" ht="22" customHeight="1">
      <c r="A2" s="7" t="inlineStr">
        <is>
          <t>서울-A102</t>
        </is>
      </c>
      <c r="B2" s="14" t="n">
        <v>0</v>
      </c>
      <c r="H2" s="15" t="inlineStr">
        <is>
          <t>코드[A2:A7]에서 "-" 가 몇 번째에 있는지 [B2:B7]에 구하시오.</t>
        </is>
      </c>
      <c r="AA2">
        <f>SEARCH("-",A2)</f>
        <v/>
      </c>
      <c r="AB2">
        <f>AND(_xlfn.ISFORMULA(B2),IFERROR(ROUND(B2,4)=ROUND(AA2,4),EXACT(B2,AA2)))</f>
        <v/>
      </c>
    </row>
    <row r="3" ht="22" customHeight="1">
      <c r="A3" s="7" t="inlineStr">
        <is>
          <t>인천-A1</t>
        </is>
      </c>
      <c r="B3" s="14" t="n">
        <v>0</v>
      </c>
      <c r="AA3">
        <f>SEARCH("-",A3)</f>
        <v/>
      </c>
      <c r="AB3">
        <f>AND(_xlfn.ISFORMULA(B3),IFERROR(ROUND(B3,4)=ROUND(AA3,4),EXACT(B3,AA3)))</f>
        <v/>
      </c>
    </row>
    <row r="4" ht="22" customHeight="1">
      <c r="A4" s="7" t="inlineStr">
        <is>
          <t>광주광역-D205</t>
        </is>
      </c>
      <c r="B4" s="14" t="n">
        <v>0</v>
      </c>
      <c r="AA4">
        <f>SEARCH("-",A4)</f>
        <v/>
      </c>
      <c r="AB4">
        <f>AND(_xlfn.ISFORMULA(B4),IFERROR(ROUND(B4,4)=ROUND(AA4,4),EXACT(B4,AA4)))</f>
        <v/>
      </c>
    </row>
    <row r="5" ht="20" customHeight="1">
      <c r="A5" s="7" t="inlineStr">
        <is>
          <t>제주-B7</t>
        </is>
      </c>
      <c r="B5" s="14" t="n">
        <v>0</v>
      </c>
      <c r="H5" s="16" t="inlineStr">
        <is>
          <t>① B2 의 0 을 지우고 수식을 넣습니다.
② 채우기 핸들(칸 오른쪽 아래 ■)을 B7 까지 끌어내립니다.</t>
        </is>
      </c>
      <c r="AA5">
        <f>SEARCH("-",A5)</f>
        <v/>
      </c>
      <c r="AB5">
        <f>AND(_xlfn.ISFORMULA(B5),IFERROR(ROUND(B5,4)=ROUND(AA5,4),EXACT(B5,AA5)))</f>
        <v/>
      </c>
    </row>
    <row r="6" ht="20" customHeight="1">
      <c r="A6" s="7" t="inlineStr">
        <is>
          <t>강원도-E48</t>
        </is>
      </c>
      <c r="B6" s="14" t="n">
        <v>0</v>
      </c>
      <c r="AA6">
        <f>SEARCH("-",A6)</f>
        <v/>
      </c>
      <c r="AB6">
        <f>AND(_xlfn.ISFORMULA(B6),IFERROR(ROUND(B6,4)=ROUND(AA6,4),EXACT(B6,AA6)))</f>
        <v/>
      </c>
    </row>
    <row r="7" ht="24" customHeight="1">
      <c r="A7" s="7" t="inlineStr">
        <is>
          <t>세종-C3</t>
        </is>
      </c>
      <c r="B7" s="14" t="n">
        <v>0</v>
      </c>
      <c r="H7" s="12" t="inlineStr">
        <is>
          <t>채점</t>
        </is>
      </c>
      <c r="I7" s="17">
        <f>IF(NOT(_xlfn.ISFORMULA(B2)),"↖ 0 지우고 수식",IF(COUNTIF(AB2:AB7,TRUE)=6,"✔ 맞음","✘ 다시 ("&amp;COUNTIF(AB2:AB7,TRUE)&amp;" / 6칸)"))</f>
        <v/>
      </c>
      <c r="J7" s="18" t="n"/>
      <c r="K7" s="18" t="n"/>
      <c r="AA7">
        <f>SEARCH("-",A7)</f>
        <v/>
      </c>
      <c r="AB7">
        <f>AND(_xlfn.ISFORMULA(B7),IFERROR(ROUND(B7,4)=ROUND(AA7,4),EXACT(B7,AA7)))</f>
        <v/>
      </c>
    </row>
    <row r="8" ht="18" customHeight="1">
      <c r="H8" s="19" t="inlineStr">
        <is>
          <t>칸마다 따로 채점합니다. 첫 칸만 맞고 아래가 틀리면 — 끌어내릴 때 움직이면 안 되는 주소에 $ 가 있는지 보세요.</t>
        </is>
      </c>
    </row>
    <row r="9" ht="18" customHeight="1"/>
    <row r="11" ht="18" customHeight="1">
      <c r="H11" s="20" t="inlineStr">
        <is>
          <t>💡 막히면: SEARCH(찾을 문자, 대상 문자열). FIND는 대소문자를 구분합니다.</t>
        </is>
      </c>
    </row>
    <row r="12" ht="18" customHeight="1"/>
  </sheetData>
  <mergeCells count="6">
    <mergeCell ref="H11:N12"/>
    <mergeCell ref="H5:N6"/>
    <mergeCell ref="H8:N9"/>
    <mergeCell ref="H2:N4"/>
    <mergeCell ref="H1:N1"/>
    <mergeCell ref="I7:K7"/>
  </mergeCells>
  <conditionalFormatting sqref="I7">
    <cfRule type="expression" priority="1" dxfId="0">
      <formula>ISNUMBER(SEARCH("맞",I7))</formula>
    </cfRule>
    <cfRule type="expression" priority="2" dxfId="1">
      <formula>ISNUMBER(SEARCH("다시",I7))</formula>
    </cfRule>
  </conditionalFormatting>
  <printOptions horizontalCentered="1"/>
  <pageMargins left="0.3" right="0.3" top="0.4" bottom="0.4" header="0.5" footer="0.5"/>
  <pageSetup orientation="landscape" paperSize="9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AB12"/>
  <sheetViews>
    <sheetView showGridLines="1" workbookViewId="0">
      <selection activeCell="A1" sqref="A1"/>
    </sheetView>
  </sheetViews>
  <sheetFormatPr baseColWidth="8" defaultRowHeight="15"/>
  <cols>
    <col width="11" customWidth="1" min="1" max="1"/>
    <col width="14" customWidth="1" min="2" max="2"/>
    <col width="3" customWidth="1" min="3" max="3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hidden="1" width="13" customWidth="1" min="27" max="27"/>
    <col hidden="1" width="13" customWidth="1" min="28" max="28"/>
  </cols>
  <sheetData>
    <row r="1" ht="24" customHeight="1">
      <c r="A1" s="12" t="inlineStr">
        <is>
          <t>코드</t>
        </is>
      </c>
      <c r="B1" s="12" t="inlineStr">
        <is>
          <t>지역</t>
        </is>
      </c>
      <c r="H1" s="13" t="inlineStr">
        <is>
          <t>11번 · 구분자 앞부분만 추출</t>
        </is>
      </c>
    </row>
    <row r="2" ht="22" customHeight="1">
      <c r="A2" s="7" t="inlineStr">
        <is>
          <t>부산-B77</t>
        </is>
      </c>
      <c r="B2" s="14" t="n">
        <v>0</v>
      </c>
      <c r="H2" s="15" t="inlineStr">
        <is>
          <t>코드[A2:A7]에서 "-" 앞부분만 [B2:B7]에 표시하시오. (LEFT와 SEARCH를 함께 사용)</t>
        </is>
      </c>
      <c r="AA2">
        <f>LEFT(A2,SEARCH("-",A2)-1)</f>
        <v/>
      </c>
      <c r="AB2">
        <f>AND(_xlfn.ISFORMULA(B2),IFERROR(ROUND(B2,4)=ROUND(AA2,4),EXACT(B2,AA2)))</f>
        <v/>
      </c>
    </row>
    <row r="3" ht="22" customHeight="1">
      <c r="A3" s="7" t="inlineStr">
        <is>
          <t>서울-A102</t>
        </is>
      </c>
      <c r="B3" s="14" t="n">
        <v>0</v>
      </c>
      <c r="AA3">
        <f>LEFT(A3,SEARCH("-",A3)-1)</f>
        <v/>
      </c>
      <c r="AB3">
        <f>AND(_xlfn.ISFORMULA(B3),IFERROR(ROUND(B3,4)=ROUND(AA3,4),EXACT(B3,AA3)))</f>
        <v/>
      </c>
    </row>
    <row r="4" ht="22" customHeight="1">
      <c r="A4" s="7" t="inlineStr">
        <is>
          <t>광주광역-D205</t>
        </is>
      </c>
      <c r="B4" s="14" t="n">
        <v>0</v>
      </c>
      <c r="AA4">
        <f>LEFT(A4,SEARCH("-",A4)-1)</f>
        <v/>
      </c>
      <c r="AB4">
        <f>AND(_xlfn.ISFORMULA(B4),IFERROR(ROUND(B4,4)=ROUND(AA4,4),EXACT(B4,AA4)))</f>
        <v/>
      </c>
    </row>
    <row r="5" ht="20" customHeight="1">
      <c r="A5" s="7" t="inlineStr">
        <is>
          <t>제주-B7</t>
        </is>
      </c>
      <c r="B5" s="14" t="n">
        <v>0</v>
      </c>
      <c r="H5" s="16" t="inlineStr">
        <is>
          <t>① B2 의 0 을 지우고 수식을 넣습니다.
② 채우기 핸들(칸 오른쪽 아래 ■)을 B7 까지 끌어내립니다.</t>
        </is>
      </c>
      <c r="AA5">
        <f>LEFT(A5,SEARCH("-",A5)-1)</f>
        <v/>
      </c>
      <c r="AB5">
        <f>AND(_xlfn.ISFORMULA(B5),IFERROR(ROUND(B5,4)=ROUND(AA5,4),EXACT(B5,AA5)))</f>
        <v/>
      </c>
    </row>
    <row r="6" ht="20" customHeight="1">
      <c r="A6" s="7" t="inlineStr">
        <is>
          <t>강원도-E48</t>
        </is>
      </c>
      <c r="B6" s="14" t="n">
        <v>0</v>
      </c>
      <c r="AA6">
        <f>LEFT(A6,SEARCH("-",A6)-1)</f>
        <v/>
      </c>
      <c r="AB6">
        <f>AND(_xlfn.ISFORMULA(B6),IFERROR(ROUND(B6,4)=ROUND(AA6,4),EXACT(B6,AA6)))</f>
        <v/>
      </c>
    </row>
    <row r="7" ht="24" customHeight="1">
      <c r="A7" s="7" t="inlineStr">
        <is>
          <t>대-C3</t>
        </is>
      </c>
      <c r="B7" s="14" t="n">
        <v>0</v>
      </c>
      <c r="H7" s="12" t="inlineStr">
        <is>
          <t>채점</t>
        </is>
      </c>
      <c r="I7" s="17">
        <f>IF(NOT(_xlfn.ISFORMULA(B2)),"↖ 0 지우고 수식",IF(COUNTIF(AB2:AB7,TRUE)=6,"✔ 맞음","✘ 다시 ("&amp;COUNTIF(AB2:AB7,TRUE)&amp;" / 6칸)"))</f>
        <v/>
      </c>
      <c r="J7" s="18" t="n"/>
      <c r="K7" s="18" t="n"/>
      <c r="AA7">
        <f>LEFT(A7,SEARCH("-",A7)-1)</f>
        <v/>
      </c>
      <c r="AB7">
        <f>AND(_xlfn.ISFORMULA(B7),IFERROR(ROUND(B7,4)=ROUND(AA7,4),EXACT(B7,AA7)))</f>
        <v/>
      </c>
    </row>
    <row r="8" ht="18" customHeight="1">
      <c r="H8" s="19" t="inlineStr">
        <is>
          <t>칸마다 따로 채점합니다. 첫 칸만 맞고 아래가 틀리면 — 끌어내릴 때 움직이면 안 되는 주소에 $ 가 있는지 보세요.</t>
        </is>
      </c>
    </row>
    <row r="9" ht="18" customHeight="1"/>
    <row r="11" ht="18" customHeight="1">
      <c r="H11" s="20" t="inlineStr">
        <is>
          <t>💡 막히면: "-"의 위치보다 1글자 적게 왼쪽에서 잘라냅니다.</t>
        </is>
      </c>
    </row>
    <row r="12" ht="18" customHeight="1"/>
  </sheetData>
  <mergeCells count="6">
    <mergeCell ref="H11:N12"/>
    <mergeCell ref="H5:N6"/>
    <mergeCell ref="H8:N9"/>
    <mergeCell ref="H2:N4"/>
    <mergeCell ref="H1:N1"/>
    <mergeCell ref="I7:K7"/>
  </mergeCells>
  <conditionalFormatting sqref="I7">
    <cfRule type="expression" priority="1" dxfId="0">
      <formula>ISNUMBER(SEARCH("맞",I7))</formula>
    </cfRule>
    <cfRule type="expression" priority="2" dxfId="1">
      <formula>ISNUMBER(SEARCH("다시",I7))</formula>
    </cfRule>
  </conditionalFormatting>
  <printOptions horizontalCentered="1"/>
  <pageMargins left="0.3" right="0.3" top="0.4" bottom="0.4" header="0.5" footer="0.5"/>
  <pageSetup orientation="landscape" paperSize="9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AB12"/>
  <sheetViews>
    <sheetView showGridLines="1" workbookViewId="0">
      <selection activeCell="A1" sqref="A1"/>
    </sheetView>
  </sheetViews>
  <sheetFormatPr baseColWidth="8" defaultRowHeight="15"/>
  <cols>
    <col width="11" customWidth="1" min="1" max="1"/>
    <col width="14" customWidth="1" min="2" max="2"/>
    <col width="3" customWidth="1" min="3" max="3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hidden="1" width="13" customWidth="1" min="27" max="27"/>
    <col hidden="1" width="13" customWidth="1" min="28" max="28"/>
  </cols>
  <sheetData>
    <row r="1" ht="24" customHeight="1">
      <c r="A1" s="12" t="inlineStr">
        <is>
          <t>입력</t>
        </is>
      </c>
      <c r="B1" s="12" t="inlineStr">
        <is>
          <t>정리</t>
        </is>
      </c>
      <c r="H1" s="13" t="inlineStr">
        <is>
          <t>12번 · 불필요한 공백 제거</t>
        </is>
      </c>
    </row>
    <row r="2" ht="22" customHeight="1">
      <c r="A2" s="7" t="inlineStr">
        <is>
          <t xml:space="preserve">  홍  길동  </t>
        </is>
      </c>
      <c r="B2" s="14" t="n">
        <v>0</v>
      </c>
      <c r="H2" s="15" t="inlineStr">
        <is>
          <t>입력[A2:A7]의 앞뒤 공백을 없애고 단어 사이 공백은 한 칸으로 만들어 [B2:B7]에 표시하시오.</t>
        </is>
      </c>
      <c r="AA2">
        <f>TRIM(A2)</f>
        <v/>
      </c>
      <c r="AB2">
        <f>AND(_xlfn.ISFORMULA(B2),IFERROR(ROUND(B2,4)=ROUND(AA2,4),EXACT(B2,AA2)))</f>
        <v/>
      </c>
    </row>
    <row r="3" ht="22" customHeight="1">
      <c r="A3" s="7" t="inlineStr">
        <is>
          <t xml:space="preserve"> 김  하늘</t>
        </is>
      </c>
      <c r="B3" s="14" t="n">
        <v>0</v>
      </c>
      <c r="AA3">
        <f>TRIM(A3)</f>
        <v/>
      </c>
      <c r="AB3">
        <f>AND(_xlfn.ISFORMULA(B3),IFERROR(ROUND(B3,4)=ROUND(AA3,4),EXACT(B3,AA3)))</f>
        <v/>
      </c>
    </row>
    <row r="4" ht="22" customHeight="1">
      <c r="A4" s="7" t="inlineStr">
        <is>
          <t xml:space="preserve">이바다   </t>
        </is>
      </c>
      <c r="B4" s="14" t="n">
        <v>0</v>
      </c>
      <c r="AA4">
        <f>TRIM(A4)</f>
        <v/>
      </c>
      <c r="AB4">
        <f>AND(_xlfn.ISFORMULA(B4),IFERROR(ROUND(B4,4)=ROUND(AA4,4),EXACT(B4,AA4)))</f>
        <v/>
      </c>
    </row>
    <row r="5" ht="20" customHeight="1">
      <c r="A5" s="7" t="inlineStr">
        <is>
          <t xml:space="preserve">   박   구 름 </t>
        </is>
      </c>
      <c r="B5" s="14" t="n">
        <v>0</v>
      </c>
      <c r="H5" s="16" t="inlineStr">
        <is>
          <t>① B2 의 0 을 지우고 수식을 넣습니다.
② 채우기 핸들(칸 오른쪽 아래 ■)을 B7 까지 끌어내립니다.</t>
        </is>
      </c>
      <c r="AA5">
        <f>TRIM(A5)</f>
        <v/>
      </c>
      <c r="AB5">
        <f>AND(_xlfn.ISFORMULA(B5),IFERROR(ROUND(B5,4)=ROUND(AA5,4),EXACT(B5,AA5)))</f>
        <v/>
      </c>
    </row>
    <row r="6" ht="20" customHeight="1">
      <c r="A6" s="7" t="inlineStr">
        <is>
          <t>최나무</t>
        </is>
      </c>
      <c r="B6" s="14" t="n">
        <v>0</v>
      </c>
      <c r="AA6">
        <f>TRIM(A6)</f>
        <v/>
      </c>
      <c r="AB6">
        <f>AND(_xlfn.ISFORMULA(B6),IFERROR(ROUND(B6,4)=ROUND(AA6,4),EXACT(B6,AA6)))</f>
        <v/>
      </c>
    </row>
    <row r="7" ht="24" customHeight="1">
      <c r="A7" s="7" t="inlineStr">
        <is>
          <t xml:space="preserve">  정  새  벽  </t>
        </is>
      </c>
      <c r="B7" s="14" t="n">
        <v>0</v>
      </c>
      <c r="H7" s="12" t="inlineStr">
        <is>
          <t>채점</t>
        </is>
      </c>
      <c r="I7" s="17">
        <f>IF(NOT(_xlfn.ISFORMULA(B2)),"↖ 0 지우고 수식",IF(COUNTIF(AB2:AB7,TRUE)=6,"✔ 맞음","✘ 다시 ("&amp;COUNTIF(AB2:AB7,TRUE)&amp;" / 6칸)"))</f>
        <v/>
      </c>
      <c r="J7" s="18" t="n"/>
      <c r="K7" s="18" t="n"/>
      <c r="AA7">
        <f>TRIM(A7)</f>
        <v/>
      </c>
      <c r="AB7">
        <f>AND(_xlfn.ISFORMULA(B7),IFERROR(ROUND(B7,4)=ROUND(AA7,4),EXACT(B7,AA7)))</f>
        <v/>
      </c>
    </row>
    <row r="8" ht="18" customHeight="1">
      <c r="H8" s="19" t="inlineStr">
        <is>
          <t>칸마다 따로 채점합니다. 첫 칸만 맞고 아래가 틀리면 — 끌어내릴 때 움직이면 안 되는 주소에 $ 가 있는지 보세요.</t>
        </is>
      </c>
    </row>
    <row r="9" ht="18" customHeight="1"/>
    <row r="11" ht="18" customHeight="1">
      <c r="H11" s="20" t="inlineStr">
        <is>
          <t>💡 막히면: TRIM(문자열)</t>
        </is>
      </c>
    </row>
    <row r="12" ht="18" customHeight="1"/>
  </sheetData>
  <mergeCells count="6">
    <mergeCell ref="H11:N12"/>
    <mergeCell ref="H5:N6"/>
    <mergeCell ref="H8:N9"/>
    <mergeCell ref="H2:N4"/>
    <mergeCell ref="H1:N1"/>
    <mergeCell ref="I7:K7"/>
  </mergeCells>
  <conditionalFormatting sqref="I7">
    <cfRule type="expression" priority="1" dxfId="0">
      <formula>ISNUMBER(SEARCH("맞",I7))</formula>
    </cfRule>
    <cfRule type="expression" priority="2" dxfId="1">
      <formula>ISNUMBER(SEARCH("다시",I7))</formula>
    </cfRule>
  </conditionalFormatting>
  <printOptions horizontalCentered="1"/>
  <pageMargins left="0.3" right="0.3" top="0.4" bottom="0.4" header="0.5" footer="0.5"/>
  <pageSetup orientation="landscape" paperSize="9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AB12"/>
  <sheetViews>
    <sheetView showGridLines="1" workbookViewId="0">
      <selection activeCell="A1" sqref="A1"/>
    </sheetView>
  </sheetViews>
  <sheetFormatPr baseColWidth="8" defaultRowHeight="15"/>
  <cols>
    <col width="11" customWidth="1" min="1" max="1"/>
    <col width="14" customWidth="1" min="2" max="2"/>
    <col width="3" customWidth="1" min="3" max="3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hidden="1" width="13" customWidth="1" min="27" max="27"/>
    <col hidden="1" width="13" customWidth="1" min="28" max="28"/>
  </cols>
  <sheetData>
    <row r="1" ht="24" customHeight="1">
      <c r="A1" s="12" t="inlineStr">
        <is>
          <t>학번</t>
        </is>
      </c>
      <c r="B1" s="12" t="inlineStr">
        <is>
          <t>학년</t>
        </is>
      </c>
      <c r="H1" s="13" t="inlineStr">
        <is>
          <t>13번 · 학번에서 학년만</t>
        </is>
      </c>
    </row>
    <row r="2" ht="22" customHeight="1">
      <c r="A2" s="7" t="inlineStr">
        <is>
          <t>2026-1-07</t>
        </is>
      </c>
      <c r="B2" s="14" t="n">
        <v>0</v>
      </c>
      <c r="H2" s="15" t="inlineStr">
        <is>
          <t>학번[A2:A7]의 6번째 한 글자(학년)를 [B2:B7]에 표시하시오.</t>
        </is>
      </c>
      <c r="AA2">
        <f>MID(A2,6,1)</f>
        <v/>
      </c>
      <c r="AB2">
        <f>AND(_xlfn.ISFORMULA(B2),IFERROR(ROUND(B2,4)=ROUND(AA2,4),EXACT(B2,AA2)))</f>
        <v/>
      </c>
    </row>
    <row r="3" ht="22" customHeight="1">
      <c r="A3" s="7" t="inlineStr">
        <is>
          <t>2026-2-15</t>
        </is>
      </c>
      <c r="B3" s="14" t="n">
        <v>0</v>
      </c>
      <c r="AA3">
        <f>MID(A3,6,1)</f>
        <v/>
      </c>
      <c r="AB3">
        <f>AND(_xlfn.ISFORMULA(B3),IFERROR(ROUND(B3,4)=ROUND(AA3,4),EXACT(B3,AA3)))</f>
        <v/>
      </c>
    </row>
    <row r="4" ht="22" customHeight="1">
      <c r="A4" s="7" t="inlineStr">
        <is>
          <t>2026-3-01</t>
        </is>
      </c>
      <c r="B4" s="14" t="n">
        <v>0</v>
      </c>
      <c r="AA4">
        <f>MID(A4,6,1)</f>
        <v/>
      </c>
      <c r="AB4">
        <f>AND(_xlfn.ISFORMULA(B4),IFERROR(ROUND(B4,4)=ROUND(AA4,4),EXACT(B4,AA4)))</f>
        <v/>
      </c>
    </row>
    <row r="5" ht="20" customHeight="1">
      <c r="A5" s="7" t="inlineStr">
        <is>
          <t>2025-1-22</t>
        </is>
      </c>
      <c r="B5" s="14" t="n">
        <v>0</v>
      </c>
      <c r="H5" s="16" t="inlineStr">
        <is>
          <t>① B2 의 0 을 지우고 수식을 넣습니다.
② 채우기 핸들(칸 오른쪽 아래 ■)을 B7 까지 끌어내립니다.</t>
        </is>
      </c>
      <c r="AA5">
        <f>MID(A5,6,1)</f>
        <v/>
      </c>
      <c r="AB5">
        <f>AND(_xlfn.ISFORMULA(B5),IFERROR(ROUND(B5,4)=ROUND(AA5,4),EXACT(B5,AA5)))</f>
        <v/>
      </c>
    </row>
    <row r="6" ht="20" customHeight="1">
      <c r="A6" s="7" t="inlineStr">
        <is>
          <t>2026-2-30</t>
        </is>
      </c>
      <c r="B6" s="14" t="n">
        <v>0</v>
      </c>
      <c r="AA6">
        <f>MID(A6,6,1)</f>
        <v/>
      </c>
      <c r="AB6">
        <f>AND(_xlfn.ISFORMULA(B6),IFERROR(ROUND(B6,4)=ROUND(AA6,4),EXACT(B6,AA6)))</f>
        <v/>
      </c>
    </row>
    <row r="7" ht="24" customHeight="1">
      <c r="A7" s="7" t="inlineStr">
        <is>
          <t>2024-3-11</t>
        </is>
      </c>
      <c r="B7" s="14" t="n">
        <v>0</v>
      </c>
      <c r="H7" s="12" t="inlineStr">
        <is>
          <t>채점</t>
        </is>
      </c>
      <c r="I7" s="17">
        <f>IF(NOT(_xlfn.ISFORMULA(B2)),"↖ 0 지우고 수식",IF(COUNTIF(AB2:AB7,TRUE)=6,"✔ 맞음","✘ 다시 ("&amp;COUNTIF(AB2:AB7,TRUE)&amp;" / 6칸)"))</f>
        <v/>
      </c>
      <c r="J7" s="18" t="n"/>
      <c r="K7" s="18" t="n"/>
      <c r="AA7">
        <f>MID(A7,6,1)</f>
        <v/>
      </c>
      <c r="AB7">
        <f>AND(_xlfn.ISFORMULA(B7),IFERROR(ROUND(B7,4)=ROUND(AA7,4),EXACT(B7,AA7)))</f>
        <v/>
      </c>
    </row>
    <row r="8" ht="18" customHeight="1">
      <c r="H8" s="19" t="inlineStr">
        <is>
          <t>칸마다 따로 채점합니다. 첫 칸만 맞고 아래가 틀리면 — 끌어내릴 때 움직이면 안 되는 주소에 $ 가 있는지 보세요.</t>
        </is>
      </c>
    </row>
    <row r="9" ht="18" customHeight="1"/>
    <row r="11" ht="18" customHeight="1">
      <c r="H11" s="20" t="inlineStr">
        <is>
          <t>💡 막히면: MID(문자열, 시작위치, 개수)</t>
        </is>
      </c>
    </row>
    <row r="12" ht="18" customHeight="1"/>
  </sheetData>
  <mergeCells count="6">
    <mergeCell ref="H11:N12"/>
    <mergeCell ref="H5:N6"/>
    <mergeCell ref="H8:N9"/>
    <mergeCell ref="H2:N4"/>
    <mergeCell ref="H1:N1"/>
    <mergeCell ref="I7:K7"/>
  </mergeCells>
  <conditionalFormatting sqref="I7">
    <cfRule type="expression" priority="1" dxfId="0">
      <formula>ISNUMBER(SEARCH("맞",I7))</formula>
    </cfRule>
    <cfRule type="expression" priority="2" dxfId="1">
      <formula>ISNUMBER(SEARCH("다시",I7))</formula>
    </cfRule>
  </conditionalFormatting>
  <printOptions horizontalCentered="1"/>
  <pageMargins left="0.3" right="0.3" top="0.4" bottom="0.4" header="0.5" footer="0.5"/>
  <pageSetup orientation="landscape" paperSize="9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AB12"/>
  <sheetViews>
    <sheetView showGridLines="1" workbookViewId="0">
      <selection activeCell="A1" sqref="A1"/>
    </sheetView>
  </sheetViews>
  <sheetFormatPr baseColWidth="8" defaultRowHeight="15"/>
  <cols>
    <col width="11" customWidth="1" min="1" max="1"/>
    <col width="14" customWidth="1" min="2" max="2"/>
    <col width="3" customWidth="1" min="3" max="3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hidden="1" width="13" customWidth="1" min="27" max="27"/>
    <col hidden="1" width="13" customWidth="1" min="28" max="28"/>
  </cols>
  <sheetData>
    <row r="1" ht="24" customHeight="1">
      <c r="A1" s="12" t="inlineStr">
        <is>
          <t>이름</t>
        </is>
      </c>
      <c r="B1" s="12" t="inlineStr">
        <is>
          <t>표시</t>
        </is>
      </c>
      <c r="H1" s="13" t="inlineStr">
        <is>
          <t>14번 · 이름 뒤에 "님" 붙이기</t>
        </is>
      </c>
    </row>
    <row r="2" ht="22" customHeight="1">
      <c r="A2" s="7" t="inlineStr">
        <is>
          <t>정별빛</t>
        </is>
      </c>
      <c r="B2" s="14" t="n">
        <v>0</v>
      </c>
      <c r="H2" s="15" t="inlineStr">
        <is>
          <t>이름[A2:A7] 뒤에 "님"을 붙여 [B2:B7]에 표시하시오.</t>
        </is>
      </c>
      <c r="AA2">
        <f>A2&amp;"님"</f>
        <v/>
      </c>
      <c r="AB2">
        <f>AND(_xlfn.ISFORMULA(B2),IFERROR(ROUND(B2,4)=ROUND(AA2,4),EXACT(B2,AA2)))</f>
        <v/>
      </c>
    </row>
    <row r="3" ht="22" customHeight="1">
      <c r="A3" s="7" t="inlineStr">
        <is>
          <t>김하늘</t>
        </is>
      </c>
      <c r="B3" s="14" t="n">
        <v>0</v>
      </c>
      <c r="AA3">
        <f>A3&amp;"님"</f>
        <v/>
      </c>
      <c r="AB3">
        <f>AND(_xlfn.ISFORMULA(B3),IFERROR(ROUND(B3,4)=ROUND(AA3,4),EXACT(B3,AA3)))</f>
        <v/>
      </c>
    </row>
    <row r="4" ht="22" customHeight="1">
      <c r="A4" s="7" t="inlineStr">
        <is>
          <t>이바다</t>
        </is>
      </c>
      <c r="B4" s="14" t="n">
        <v>0</v>
      </c>
      <c r="AA4">
        <f>A4&amp;"님"</f>
        <v/>
      </c>
      <c r="AB4">
        <f>AND(_xlfn.ISFORMULA(B4),IFERROR(ROUND(B4,4)=ROUND(AA4,4),EXACT(B4,AA4)))</f>
        <v/>
      </c>
    </row>
    <row r="5" ht="20" customHeight="1">
      <c r="A5" s="7" t="inlineStr">
        <is>
          <t>박구름</t>
        </is>
      </c>
      <c r="B5" s="14" t="n">
        <v>0</v>
      </c>
      <c r="H5" s="16" t="inlineStr">
        <is>
          <t>① B2 의 0 을 지우고 수식을 넣습니다.
② 채우기 핸들(칸 오른쪽 아래 ■)을 B7 까지 끌어내립니다.</t>
        </is>
      </c>
      <c r="AA5">
        <f>A5&amp;"님"</f>
        <v/>
      </c>
      <c r="AB5">
        <f>AND(_xlfn.ISFORMULA(B5),IFERROR(ROUND(B5,4)=ROUND(AA5,4),EXACT(B5,AA5)))</f>
        <v/>
      </c>
    </row>
    <row r="6" ht="20" customHeight="1">
      <c r="A6" s="7" t="inlineStr">
        <is>
          <t>최나무</t>
        </is>
      </c>
      <c r="B6" s="14" t="n">
        <v>0</v>
      </c>
      <c r="AA6">
        <f>A6&amp;"님"</f>
        <v/>
      </c>
      <c r="AB6">
        <f>AND(_xlfn.ISFORMULA(B6),IFERROR(ROUND(B6,4)=ROUND(AA6,4),EXACT(B6,AA6)))</f>
        <v/>
      </c>
    </row>
    <row r="7" ht="24" customHeight="1">
      <c r="A7" s="7" t="inlineStr">
        <is>
          <t>정새벽</t>
        </is>
      </c>
      <c r="B7" s="14" t="n">
        <v>0</v>
      </c>
      <c r="H7" s="12" t="inlineStr">
        <is>
          <t>채점</t>
        </is>
      </c>
      <c r="I7" s="17">
        <f>IF(NOT(_xlfn.ISFORMULA(B2)),"↖ 0 지우고 수식",IF(COUNTIF(AB2:AB7,TRUE)=6,"✔ 맞음","✘ 다시 ("&amp;COUNTIF(AB2:AB7,TRUE)&amp;" / 6칸)"))</f>
        <v/>
      </c>
      <c r="J7" s="18" t="n"/>
      <c r="K7" s="18" t="n"/>
      <c r="AA7">
        <f>A7&amp;"님"</f>
        <v/>
      </c>
      <c r="AB7">
        <f>AND(_xlfn.ISFORMULA(B7),IFERROR(ROUND(B7,4)=ROUND(AA7,4),EXACT(B7,AA7)))</f>
        <v/>
      </c>
    </row>
    <row r="8" ht="18" customHeight="1">
      <c r="H8" s="19" t="inlineStr">
        <is>
          <t>칸마다 따로 채점합니다. 첫 칸만 맞고 아래가 틀리면 — 끌어내릴 때 움직이면 안 되는 주소에 $ 가 있는지 보세요.</t>
        </is>
      </c>
    </row>
    <row r="9" ht="18" customHeight="1"/>
    <row r="11" ht="18" customHeight="1">
      <c r="H11" s="20" t="inlineStr">
        <is>
          <t>💡 막히면: &amp; 로 이어 붙입니다. CONCAT(A2,"님") 도 같습니다.</t>
        </is>
      </c>
    </row>
    <row r="12" ht="18" customHeight="1"/>
  </sheetData>
  <mergeCells count="6">
    <mergeCell ref="H11:N12"/>
    <mergeCell ref="H5:N6"/>
    <mergeCell ref="H8:N9"/>
    <mergeCell ref="H2:N4"/>
    <mergeCell ref="H1:N1"/>
    <mergeCell ref="I7:K7"/>
  </mergeCells>
  <conditionalFormatting sqref="I7">
    <cfRule type="expression" priority="1" dxfId="0">
      <formula>ISNUMBER(SEARCH("맞",I7))</formula>
    </cfRule>
    <cfRule type="expression" priority="2" dxfId="1">
      <formula>ISNUMBER(SEARCH("다시",I7))</formula>
    </cfRule>
  </conditionalFormatting>
  <printOptions horizontalCentered="1"/>
  <pageMargins left="0.3" right="0.3" top="0.4" bottom="0.4" header="0.5" footer="0.5"/>
  <pageSetup orientation="landscape" paperSize="9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AB12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3" customWidth="1" min="3" max="3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hidden="1" width="13" customWidth="1" min="27" max="27"/>
    <col hidden="1" width="13" customWidth="1" min="28" max="28"/>
  </cols>
  <sheetData>
    <row r="1" ht="24" customHeight="1">
      <c r="A1" s="12" t="inlineStr">
        <is>
          <t>입력값</t>
        </is>
      </c>
      <c r="B1" s="12" t="inlineStr">
        <is>
          <t>정리</t>
        </is>
      </c>
      <c r="H1" s="13" t="inlineStr">
        <is>
          <t>15번 · 앞뒤 공백 없애고 대문자로</t>
        </is>
      </c>
    </row>
    <row r="2" ht="22" customHeight="1">
      <c r="A2" s="7" t="inlineStr">
        <is>
          <t xml:space="preserve">  excel  </t>
        </is>
      </c>
      <c r="B2" s="14" t="n">
        <v>0</v>
      </c>
      <c r="H2" s="15" t="inlineStr">
        <is>
          <t>입력값[A2:A7]의 앞뒤 공백을 없애고 모두 대문자로 바꿔 [B2:B7]에 표시하시오.</t>
        </is>
      </c>
      <c r="AA2">
        <f>UPPER(TRIM(A2))</f>
        <v/>
      </c>
      <c r="AB2">
        <f>AND(_xlfn.ISFORMULA(B2),IFERROR(ROUND(B2,4)=ROUND(AA2,4),EXACT(B2,AA2)))</f>
        <v/>
      </c>
    </row>
    <row r="3" ht="22" customHeight="1">
      <c r="A3" s="7" t="inlineStr">
        <is>
          <t>word</t>
        </is>
      </c>
      <c r="B3" s="14" t="n">
        <v>0</v>
      </c>
      <c r="AA3">
        <f>UPPER(TRIM(A3))</f>
        <v/>
      </c>
      <c r="AB3">
        <f>AND(_xlfn.ISFORMULA(B3),IFERROR(ROUND(B3,4)=ROUND(AA3,4),EXACT(B3,AA3)))</f>
        <v/>
      </c>
    </row>
    <row r="4" ht="22" customHeight="1">
      <c r="A4" s="7" t="inlineStr">
        <is>
          <t xml:space="preserve"> Plc </t>
        </is>
      </c>
      <c r="B4" s="14" t="n">
        <v>0</v>
      </c>
      <c r="AA4">
        <f>UPPER(TRIM(A4))</f>
        <v/>
      </c>
      <c r="AB4">
        <f>AND(_xlfn.ISFORMULA(B4),IFERROR(ROUND(B4,4)=ROUND(AA4,4),EXACT(B4,AA4)))</f>
        <v/>
      </c>
    </row>
    <row r="5" ht="20" customHeight="1">
      <c r="A5" s="7" t="inlineStr">
        <is>
          <t xml:space="preserve">cad   </t>
        </is>
      </c>
      <c r="B5" s="14" t="n">
        <v>0</v>
      </c>
      <c r="H5" s="16" t="inlineStr">
        <is>
          <t>① B2 의 0 을 지우고 수식을 넣습니다.
② 채우기 핸들(칸 오른쪽 아래 ■)을 B7 까지 끌어내립니다.</t>
        </is>
      </c>
      <c r="AA5">
        <f>UPPER(TRIM(A5))</f>
        <v/>
      </c>
      <c r="AB5">
        <f>AND(_xlfn.ISFORMULA(B5),IFERROR(ROUND(B5,4)=ROUND(AA5,4),EXACT(B5,AA5)))</f>
        <v/>
      </c>
    </row>
    <row r="6" ht="20" customHeight="1">
      <c r="A6" s="7" t="inlineStr">
        <is>
          <t xml:space="preserve">   Hwp</t>
        </is>
      </c>
      <c r="B6" s="14" t="n">
        <v>0</v>
      </c>
      <c r="AA6">
        <f>UPPER(TRIM(A6))</f>
        <v/>
      </c>
      <c r="AB6">
        <f>AND(_xlfn.ISFORMULA(B6),IFERROR(ROUND(B6,4)=ROUND(AA6,4),EXACT(B6,AA6)))</f>
        <v/>
      </c>
    </row>
    <row r="7" ht="24" customHeight="1">
      <c r="A7" s="7" t="inlineStr">
        <is>
          <t xml:space="preserve">  cnc lathe  </t>
        </is>
      </c>
      <c r="B7" s="14" t="n">
        <v>0</v>
      </c>
      <c r="H7" s="12" t="inlineStr">
        <is>
          <t>채점</t>
        </is>
      </c>
      <c r="I7" s="17">
        <f>IF(NOT(_xlfn.ISFORMULA(B2)),"↖ 0 지우고 수식",IF(COUNTIF(AB2:AB7,TRUE)=6,"✔ 맞음","✘ 다시 ("&amp;COUNTIF(AB2:AB7,TRUE)&amp;" / 6칸)"))</f>
        <v/>
      </c>
      <c r="J7" s="18" t="n"/>
      <c r="K7" s="18" t="n"/>
      <c r="AA7">
        <f>UPPER(TRIM(A7))</f>
        <v/>
      </c>
      <c r="AB7">
        <f>AND(_xlfn.ISFORMULA(B7),IFERROR(ROUND(B7,4)=ROUND(AA7,4),EXACT(B7,AA7)))</f>
        <v/>
      </c>
    </row>
    <row r="8" ht="18" customHeight="1">
      <c r="H8" s="19" t="inlineStr">
        <is>
          <t>칸마다 따로 채점합니다. 첫 칸만 맞고 아래가 틀리면 — 끌어내릴 때 움직이면 안 되는 주소에 $ 가 있는지 보세요.</t>
        </is>
      </c>
    </row>
    <row r="9" ht="18" customHeight="1"/>
    <row r="11" ht="18" customHeight="1">
      <c r="H11" s="20" t="inlineStr">
        <is>
          <t>💡 막히면: 함수 안에 함수를 넣습니다. TRIM 먼저, 그 결과를 UPPER로.</t>
        </is>
      </c>
    </row>
    <row r="12" ht="18" customHeight="1"/>
  </sheetData>
  <mergeCells count="6">
    <mergeCell ref="H11:N12"/>
    <mergeCell ref="H5:N6"/>
    <mergeCell ref="H8:N9"/>
    <mergeCell ref="H2:N4"/>
    <mergeCell ref="H1:N1"/>
    <mergeCell ref="I7:K7"/>
  </mergeCells>
  <conditionalFormatting sqref="I7">
    <cfRule type="expression" priority="1" dxfId="0">
      <formula>ISNUMBER(SEARCH("맞",I7))</formula>
    </cfRule>
    <cfRule type="expression" priority="2" dxfId="1">
      <formula>ISNUMBER(SEARCH("다시",I7))</formula>
    </cfRule>
  </conditionalFormatting>
  <printOptions horizontalCentered="1"/>
  <pageMargins left="0.3" right="0.3" top="0.4" bottom="0.4" header="0.5" footer="0.5"/>
  <pageSetup orientation="landscape" paperSize="9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E19"/>
  <sheetViews>
    <sheetView workbookViewId="0">
      <selection activeCell="A1" sqref="A1"/>
    </sheetView>
  </sheetViews>
  <sheetFormatPr baseColWidth="8" defaultRowHeight="15"/>
  <cols>
    <col width="6" customWidth="1" min="1" max="1"/>
    <col width="28" customWidth="1" min="2" max="2"/>
    <col width="16" customWidth="1" min="3" max="3"/>
    <col width="52" customWidth="1" min="4" max="4"/>
    <col width="44" customWidth="1" min="5" max="5"/>
  </cols>
  <sheetData>
    <row r="1" ht="26" customHeight="1">
      <c r="A1" s="5" t="inlineStr">
        <is>
          <t>정답 — 먼저 스스로 풀어 본 뒤에 보세요</t>
        </is>
      </c>
    </row>
    <row r="2" ht="30" customHeight="1">
      <c r="A2" s="21" t="inlineStr">
        <is>
          <t>[넣을 칸] 의 첫 칸에 이 수식을 넣고, 칸이 여러 개면 끝까지 끌어내리면 됩니다.</t>
        </is>
      </c>
    </row>
    <row r="4" ht="24" customHeight="1">
      <c r="A4" s="6" t="inlineStr">
        <is>
          <t>번호</t>
        </is>
      </c>
      <c r="B4" s="6" t="inlineStr">
        <is>
          <t>문제</t>
        </is>
      </c>
      <c r="C4" s="6" t="inlineStr">
        <is>
          <t>넣을 칸</t>
        </is>
      </c>
      <c r="D4" s="6" t="inlineStr">
        <is>
          <t>모범답안 (첫 칸)</t>
        </is>
      </c>
      <c r="E4" s="6" t="inlineStr">
        <is>
          <t>힌트</t>
        </is>
      </c>
    </row>
    <row r="5" ht="30" customHeight="1">
      <c r="A5" s="7" t="n">
        <v>1</v>
      </c>
      <c r="B5" s="8" t="inlineStr">
        <is>
          <t>왼쪽 글자 추출</t>
        </is>
      </c>
      <c r="C5" s="8" t="inlineStr">
        <is>
          <t>B2:B7</t>
        </is>
      </c>
      <c r="D5" s="22" t="inlineStr">
        <is>
          <t>=LEFT(A2,2)</t>
        </is>
      </c>
      <c r="E5" s="23" t="inlineStr">
        <is>
          <t>LEFT(문자열, 글자수)</t>
        </is>
      </c>
    </row>
    <row r="6" ht="30" customHeight="1">
      <c r="A6" s="24" t="n">
        <v>2</v>
      </c>
      <c r="B6" s="25" t="inlineStr">
        <is>
          <t>오른쪽 글자 추출</t>
        </is>
      </c>
      <c r="C6" s="25" t="inlineStr">
        <is>
          <t>B2:B7</t>
        </is>
      </c>
      <c r="D6" s="26" t="inlineStr">
        <is>
          <t>=RIGHT(A2,3)</t>
        </is>
      </c>
      <c r="E6" s="27" t="inlineStr">
        <is>
          <t>RIGHT(문자열, 글자수)</t>
        </is>
      </c>
    </row>
    <row r="7" ht="30" customHeight="1">
      <c r="A7" s="7" t="n">
        <v>3</v>
      </c>
      <c r="B7" s="8" t="inlineStr">
        <is>
          <t>중간 글자 추출</t>
        </is>
      </c>
      <c r="C7" s="8" t="inlineStr">
        <is>
          <t>B2:B7</t>
        </is>
      </c>
      <c r="D7" s="22" t="inlineStr">
        <is>
          <t>=MID(A2,3,2)</t>
        </is>
      </c>
      <c r="E7" s="23" t="inlineStr">
        <is>
          <t>MID(문자열, 시작위치, 글자수)</t>
        </is>
      </c>
    </row>
    <row r="8" ht="30" customHeight="1">
      <c r="A8" s="24" t="n">
        <v>4</v>
      </c>
      <c r="B8" s="25" t="inlineStr">
        <is>
          <t>글자 수 세기</t>
        </is>
      </c>
      <c r="C8" s="25" t="inlineStr">
        <is>
          <t>B2:B7</t>
        </is>
      </c>
      <c r="D8" s="26" t="inlineStr">
        <is>
          <t>=LEN(A2)</t>
        </is>
      </c>
      <c r="E8" s="27" t="inlineStr">
        <is>
          <t>LEN(문자열)</t>
        </is>
      </c>
    </row>
    <row r="9" ht="30" customHeight="1">
      <c r="A9" s="7" t="n">
        <v>5</v>
      </c>
      <c r="B9" s="8" t="inlineStr">
        <is>
          <t>문자 연결하기</t>
        </is>
      </c>
      <c r="C9" s="8" t="inlineStr">
        <is>
          <t>C2:C6</t>
        </is>
      </c>
      <c r="D9" s="22" t="inlineStr">
        <is>
          <t>=A2&amp;" "&amp;B2</t>
        </is>
      </c>
      <c r="E9" s="23" t="inlineStr">
        <is>
          <t>&amp; 로 문자를 이어 붙입니다. 공백도 " " 로 넣습니다.</t>
        </is>
      </c>
    </row>
    <row r="10" ht="30" customHeight="1">
      <c r="A10" s="24" t="n">
        <v>6</v>
      </c>
      <c r="B10" s="25" t="inlineStr">
        <is>
          <t>괄호로 묶어 표시</t>
        </is>
      </c>
      <c r="C10" s="25" t="inlineStr">
        <is>
          <t>C2:C6</t>
        </is>
      </c>
      <c r="D10" s="26" t="inlineStr">
        <is>
          <t>=A2&amp;"("&amp;B2&amp;")"</t>
        </is>
      </c>
      <c r="E10" s="27" t="inlineStr">
        <is>
          <t>문자 상수는 큰따옴표로 감싸 &amp; 로 연결합니다.</t>
        </is>
      </c>
    </row>
    <row r="11" ht="30" customHeight="1">
      <c r="A11" s="7" t="n">
        <v>7</v>
      </c>
      <c r="B11" s="8" t="inlineStr">
        <is>
          <t>대문자로 바꾸기</t>
        </is>
      </c>
      <c r="C11" s="8" t="inlineStr">
        <is>
          <t>B2:B7</t>
        </is>
      </c>
      <c r="D11" s="22" t="inlineStr">
        <is>
          <t>=UPPER(A2)</t>
        </is>
      </c>
      <c r="E11" s="23" t="inlineStr">
        <is>
          <t>UPPER(문자열). 소문자는 LOWER, 첫 글자만 대문자는 PROPER.</t>
        </is>
      </c>
    </row>
    <row r="12" ht="30" customHeight="1">
      <c r="A12" s="24" t="n">
        <v>8</v>
      </c>
      <c r="B12" s="25" t="inlineStr">
        <is>
          <t>첫 글자만 대문자</t>
        </is>
      </c>
      <c r="C12" s="25" t="inlineStr">
        <is>
          <t>B2:B7</t>
        </is>
      </c>
      <c r="D12" s="26" t="inlineStr">
        <is>
          <t>=PROPER(A2)</t>
        </is>
      </c>
      <c r="E12" s="27" t="inlineStr">
        <is>
          <t>PROPER(문자열)</t>
        </is>
      </c>
    </row>
    <row r="13" ht="30" customHeight="1">
      <c r="A13" s="7" t="n">
        <v>9</v>
      </c>
      <c r="B13" s="8" t="inlineStr">
        <is>
          <t>일부를 *로 가리기</t>
        </is>
      </c>
      <c r="C13" s="8" t="inlineStr">
        <is>
          <t>B2:B7</t>
        </is>
      </c>
      <c r="D13" s="22" t="inlineStr">
        <is>
          <t>=REPLACE(A2,4,4,"****")</t>
        </is>
      </c>
      <c r="E13" s="23" t="inlineStr">
        <is>
          <t>REPLACE(문자열, 시작위치, 바꿀 글자수, 새 문자열)</t>
        </is>
      </c>
    </row>
    <row r="14" ht="30" customHeight="1">
      <c r="A14" s="24" t="n">
        <v>10</v>
      </c>
      <c r="B14" s="25" t="inlineStr">
        <is>
          <t>문자 위치 찾기</t>
        </is>
      </c>
      <c r="C14" s="25" t="inlineStr">
        <is>
          <t>B2:B7</t>
        </is>
      </c>
      <c r="D14" s="26" t="inlineStr">
        <is>
          <t>=SEARCH("-",A2)</t>
        </is>
      </c>
      <c r="E14" s="27" t="inlineStr">
        <is>
          <t>SEARCH(찾을 문자, 대상 문자열). FIND는 대소문자를 구분합니다.</t>
        </is>
      </c>
    </row>
    <row r="15" ht="30" customHeight="1">
      <c r="A15" s="7" t="n">
        <v>11</v>
      </c>
      <c r="B15" s="8" t="inlineStr">
        <is>
          <t>구분자 앞부분만 추출</t>
        </is>
      </c>
      <c r="C15" s="8" t="inlineStr">
        <is>
          <t>B2:B7</t>
        </is>
      </c>
      <c r="D15" s="22" t="inlineStr">
        <is>
          <t>=LEFT(A2,SEARCH("-",A2)-1)</t>
        </is>
      </c>
      <c r="E15" s="23" t="inlineStr">
        <is>
          <t>"-"의 위치보다 1글자 적게 왼쪽에서 잘라냅니다.</t>
        </is>
      </c>
    </row>
    <row r="16" ht="30" customHeight="1">
      <c r="A16" s="24" t="n">
        <v>12</v>
      </c>
      <c r="B16" s="25" t="inlineStr">
        <is>
          <t>불필요한 공백 제거</t>
        </is>
      </c>
      <c r="C16" s="25" t="inlineStr">
        <is>
          <t>B2:B7</t>
        </is>
      </c>
      <c r="D16" s="26" t="inlineStr">
        <is>
          <t>=TRIM(A2)</t>
        </is>
      </c>
      <c r="E16" s="27" t="inlineStr">
        <is>
          <t>TRIM(문자열)</t>
        </is>
      </c>
    </row>
    <row r="17" ht="30" customHeight="1">
      <c r="A17" s="7" t="n">
        <v>13</v>
      </c>
      <c r="B17" s="8" t="inlineStr">
        <is>
          <t>학번에서 학년만</t>
        </is>
      </c>
      <c r="C17" s="8" t="inlineStr">
        <is>
          <t>B2:B7</t>
        </is>
      </c>
      <c r="D17" s="22" t="inlineStr">
        <is>
          <t>=MID(A2,6,1)</t>
        </is>
      </c>
      <c r="E17" s="23" t="inlineStr">
        <is>
          <t>MID(문자열, 시작위치, 개수)</t>
        </is>
      </c>
    </row>
    <row r="18" ht="30" customHeight="1">
      <c r="A18" s="24" t="n">
        <v>14</v>
      </c>
      <c r="B18" s="25" t="inlineStr">
        <is>
          <t>이름 뒤에 "님" 붙이기</t>
        </is>
      </c>
      <c r="C18" s="25" t="inlineStr">
        <is>
          <t>B2:B7</t>
        </is>
      </c>
      <c r="D18" s="26" t="inlineStr">
        <is>
          <t>=A2&amp;"님"</t>
        </is>
      </c>
      <c r="E18" s="27" t="inlineStr">
        <is>
          <t>&amp; 로 이어 붙입니다. CONCAT(A2,"님") 도 같습니다.</t>
        </is>
      </c>
    </row>
    <row r="19" ht="30" customHeight="1">
      <c r="A19" s="7" t="n">
        <v>15</v>
      </c>
      <c r="B19" s="8" t="inlineStr">
        <is>
          <t>앞뒤 공백 없애고 대문자로</t>
        </is>
      </c>
      <c r="C19" s="8" t="inlineStr">
        <is>
          <t>B2:B7</t>
        </is>
      </c>
      <c r="D19" s="22" t="inlineStr">
        <is>
          <t>=UPPER(TRIM(A2))</t>
        </is>
      </c>
      <c r="E19" s="23" t="inlineStr">
        <is>
          <t>함수 안에 함수를 넣습니다. TRIM 먼저, 그 결과를 UPPER로.</t>
        </is>
      </c>
    </row>
  </sheetData>
  <mergeCells count="2">
    <mergeCell ref="A2:E2"/>
    <mergeCell ref="A1:E1"/>
  </mergeCells>
  <printOptions horizontalCentered="1"/>
  <pageMargins left="0.3" right="0.3" top="0.4" bottom="0.4" header="0.5" footer="0.5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2026-09-28T00:29:28Z</dcterms:created>
  <dcterms:modified xmlns:dcterms="http://purl.org/dc/terms/" xmlns:xsi="http://www.w3.org/2001/XMLSchema-instance" xsi:type="dcterms:W3CDTF">2026-09-28T00:29:28Z</dcterms:modified>
</cp:coreProperties>
</file>