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점검이력" sheetId="2" state="visible" r:id="rId2"/>
    <sheet xmlns:r="http://schemas.openxmlformats.org/officeDocument/2006/relationships" name="원가모형" sheetId="3" state="visible" r:id="rId3"/>
    <sheet xmlns:r="http://schemas.openxmlformats.org/officeDocument/2006/relationships" name="미션" sheetId="4" state="visible" r:id="rId4"/>
    <sheet xmlns:r="http://schemas.openxmlformats.org/officeDocument/2006/relationships" name="정답·해설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1F3864"/>
      <sz val="16"/>
    </font>
    <font>
      <sz val="11"/>
    </font>
    <font>
      <b val="1"/>
      <color rgb="002E5C8A"/>
      <sz val="12"/>
    </font>
    <font>
      <color rgb="00806000"/>
      <sz val="10"/>
    </font>
    <font>
      <b val="1"/>
      <color rgb="00FFFFFF"/>
      <sz val="11"/>
    </font>
    <font>
      <b val="1"/>
      <color rgb="001F3864"/>
      <sz val="14"/>
    </font>
    <font>
      <b val="1"/>
    </font>
    <font>
      <name val="Consolas"/>
      <b val="1"/>
      <sz val="10"/>
    </font>
  </fonts>
  <fills count="7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E5C8A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4" fillId="2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7" fillId="4" borderId="1" applyAlignment="1" pivotButton="0" quotePrefix="0" xfId="0">
      <alignment vertical="center"/>
    </xf>
    <xf numFmtId="3" fontId="7" fillId="4" borderId="1" applyAlignment="1" pivotButton="0" quotePrefix="0" xfId="0">
      <alignment vertical="center"/>
    </xf>
    <xf numFmtId="165" fontId="7" fillId="4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3" fontId="7" fillId="5" borderId="1" applyAlignment="1" pivotButton="0" quotePrefix="0" xfId="0">
      <alignment vertical="center"/>
    </xf>
    <xf numFmtId="0" fontId="4" fillId="0" borderId="0" pivotButton="0" quotePrefix="0" xfId="0"/>
    <xf numFmtId="0" fontId="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2급 실기 ③ 분석작업 — 설비 점검 이력</t>
        </is>
      </c>
    </row>
    <row r="3" ht="19" customHeight="1">
      <c r="B3" s="2" t="inlineStr"/>
    </row>
    <row r="4" ht="19" customHeight="1">
      <c r="B4" s="2" t="inlineStr">
        <is>
          <t>부분합 · 피벗 테이블 · 목표값 찾기 · 시나리오 · 정렬 을 연습합니다.</t>
        </is>
      </c>
    </row>
    <row r="5" ht="19" customHeight="1">
      <c r="B5" s="2" t="inlineStr"/>
    </row>
    <row r="6" ht="24" customHeight="1">
      <c r="B6" s="3" t="inlineStr">
        <is>
          <t>시트 안내</t>
        </is>
      </c>
    </row>
    <row r="7" ht="19" customHeight="1">
      <c r="B7" s="2" t="inlineStr">
        <is>
          <t>점검이력   — 40건의 설비 점검 기록 (부분합·피벗·정렬용)</t>
        </is>
      </c>
    </row>
    <row r="8" ht="19" customHeight="1">
      <c r="B8" s="2" t="inlineStr">
        <is>
          <t>원가모형   — 목표값 찾기와 시나리오를 걸어 볼 작은 계산 모형</t>
        </is>
      </c>
    </row>
    <row r="9" ht="19" customHeight="1">
      <c r="B9" s="2" t="inlineStr">
        <is>
          <t>미션 · 정답·해설</t>
        </is>
      </c>
    </row>
    <row r="10" ht="19" customHeight="1">
      <c r="B10" s="2" t="inlineStr"/>
    </row>
    <row r="11" ht="24" customHeight="1">
      <c r="B11" s="3" t="inlineStr">
        <is>
          <t>꼭 기억할 것</t>
        </is>
      </c>
    </row>
    <row r="12" ht="19" customHeight="1">
      <c r="B12" s="2" t="inlineStr">
        <is>
          <t>부분합은 반드시 '그 기준으로 먼저 정렬' 한 다음에 넣습니다. 정렬을 안 하면 같은 공정이 흩어집니다.</t>
        </is>
      </c>
    </row>
    <row r="13" ht="19" customHeight="1">
      <c r="B13" s="2" t="inlineStr">
        <is>
          <t>피벗 테이블은 원본 표 안에 셀 하나만 클릭해 두고 삽입 → 피벗 테이블.</t>
        </is>
      </c>
    </row>
    <row r="14" ht="34" customHeight="1">
      <c r="B14" s="4" t="inlineStr">
        <is>
          <t>목표값 찾기는 '답을 정해 놓고 입력값을 거꾸로 찾는' 기능입니다. 바꿀 셀은 반드시 숫자가 든 칸이어야 합니다.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3:H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1" customWidth="1" min="8" max="8"/>
  </cols>
  <sheetData>
    <row r="3" ht="24" customHeight="1">
      <c r="A3" s="5" t="inlineStr">
        <is>
          <t>점검일</t>
        </is>
      </c>
      <c r="B3" s="5" t="inlineStr">
        <is>
          <t>설비명</t>
        </is>
      </c>
      <c r="C3" s="5" t="inlineStr">
        <is>
          <t>공정</t>
        </is>
      </c>
      <c r="D3" s="5" t="inlineStr">
        <is>
          <t>점검구분</t>
        </is>
      </c>
      <c r="E3" s="5" t="inlineStr">
        <is>
          <t>점검자</t>
        </is>
      </c>
      <c r="F3" s="5" t="inlineStr">
        <is>
          <t>이상건수</t>
        </is>
      </c>
      <c r="G3" s="5" t="inlineStr">
        <is>
          <t>수리비용</t>
        </is>
      </c>
      <c r="H3" s="5" t="inlineStr">
        <is>
          <t>정지시간(분)</t>
        </is>
      </c>
    </row>
    <row r="4">
      <c r="A4" s="6" t="n">
        <v>46083</v>
      </c>
      <c r="B4" s="7" t="inlineStr">
        <is>
          <t>CNC-01</t>
        </is>
      </c>
      <c r="C4" s="7" t="inlineStr">
        <is>
          <t>가공</t>
        </is>
      </c>
      <c r="D4" s="7" t="inlineStr">
        <is>
          <t>정기</t>
        </is>
      </c>
      <c r="E4" s="7" t="inlineStr">
        <is>
          <t>김현수</t>
        </is>
      </c>
      <c r="F4" s="8" t="n">
        <v>4</v>
      </c>
      <c r="G4" s="9" t="n">
        <v>192000</v>
      </c>
      <c r="H4" s="8" t="n">
        <v>60</v>
      </c>
    </row>
    <row r="5">
      <c r="A5" s="6" t="n">
        <v>46084</v>
      </c>
      <c r="B5" s="7" t="inlineStr">
        <is>
          <t>CNC-02</t>
        </is>
      </c>
      <c r="C5" s="7" t="inlineStr">
        <is>
          <t>가공</t>
        </is>
      </c>
      <c r="D5" s="7" t="inlineStr">
        <is>
          <t>정기</t>
        </is>
      </c>
      <c r="E5" s="7" t="inlineStr">
        <is>
          <t>박지훈</t>
        </is>
      </c>
      <c r="F5" s="8" t="n">
        <v>0</v>
      </c>
      <c r="G5" s="9" t="n">
        <v>0</v>
      </c>
      <c r="H5" s="8" t="n">
        <v>0</v>
      </c>
    </row>
    <row r="6">
      <c r="A6" s="6" t="n">
        <v>46084</v>
      </c>
      <c r="B6" s="7" t="inlineStr">
        <is>
          <t>MCT-01</t>
        </is>
      </c>
      <c r="C6" s="7" t="inlineStr">
        <is>
          <t>가공</t>
        </is>
      </c>
      <c r="D6" s="7" t="inlineStr">
        <is>
          <t>수시</t>
        </is>
      </c>
      <c r="E6" s="7" t="inlineStr">
        <is>
          <t>이서연</t>
        </is>
      </c>
      <c r="F6" s="8" t="n">
        <v>0</v>
      </c>
      <c r="G6" s="9" t="n">
        <v>0</v>
      </c>
      <c r="H6" s="8" t="n">
        <v>0</v>
      </c>
    </row>
    <row r="7">
      <c r="A7" s="6" t="n">
        <v>46085</v>
      </c>
      <c r="B7" s="7" t="inlineStr">
        <is>
          <t>ROB-01</t>
        </is>
      </c>
      <c r="C7" s="7" t="inlineStr">
        <is>
          <t>조립</t>
        </is>
      </c>
      <c r="D7" s="7" t="inlineStr">
        <is>
          <t>정기</t>
        </is>
      </c>
      <c r="E7" s="7" t="inlineStr">
        <is>
          <t>최민재</t>
        </is>
      </c>
      <c r="F7" s="8" t="n">
        <v>4</v>
      </c>
      <c r="G7" s="9" t="n">
        <v>140000</v>
      </c>
      <c r="H7" s="8" t="n">
        <v>100</v>
      </c>
    </row>
    <row r="8">
      <c r="A8" s="6" t="n">
        <v>46085</v>
      </c>
      <c r="B8" s="7" t="inlineStr">
        <is>
          <t>ROB-02</t>
        </is>
      </c>
      <c r="C8" s="7" t="inlineStr">
        <is>
          <t>조립</t>
        </is>
      </c>
      <c r="D8" s="7" t="inlineStr">
        <is>
          <t>정기</t>
        </is>
      </c>
      <c r="E8" s="7" t="inlineStr">
        <is>
          <t>김현수</t>
        </is>
      </c>
      <c r="F8" s="8" t="n">
        <v>1</v>
      </c>
      <c r="G8" s="9" t="n">
        <v>62000</v>
      </c>
      <c r="H8" s="8" t="n">
        <v>25</v>
      </c>
    </row>
    <row r="9">
      <c r="A9" s="6" t="n">
        <v>46086</v>
      </c>
      <c r="B9" s="7" t="inlineStr">
        <is>
          <t>CNV-01</t>
        </is>
      </c>
      <c r="C9" s="7" t="inlineStr">
        <is>
          <t>조립</t>
        </is>
      </c>
      <c r="D9" s="7" t="inlineStr">
        <is>
          <t>수시</t>
        </is>
      </c>
      <c r="E9" s="7" t="inlineStr">
        <is>
          <t>박지훈</t>
        </is>
      </c>
      <c r="F9" s="8" t="n">
        <v>3</v>
      </c>
      <c r="G9" s="9" t="n">
        <v>186000</v>
      </c>
      <c r="H9" s="8" t="n">
        <v>120</v>
      </c>
    </row>
    <row r="10">
      <c r="A10" s="6" t="n">
        <v>46086</v>
      </c>
      <c r="B10" s="7" t="inlineStr">
        <is>
          <t>VIS-01</t>
        </is>
      </c>
      <c r="C10" s="7" t="inlineStr">
        <is>
          <t>검사</t>
        </is>
      </c>
      <c r="D10" s="7" t="inlineStr">
        <is>
          <t>정기</t>
        </is>
      </c>
      <c r="E10" s="7" t="inlineStr">
        <is>
          <t>이서연</t>
        </is>
      </c>
      <c r="F10" s="8" t="n">
        <v>0</v>
      </c>
      <c r="G10" s="9" t="n">
        <v>0</v>
      </c>
      <c r="H10" s="8" t="n">
        <v>0</v>
      </c>
    </row>
    <row r="11">
      <c r="A11" s="6" t="n">
        <v>46087</v>
      </c>
      <c r="B11" s="7" t="inlineStr">
        <is>
          <t>VIS-02</t>
        </is>
      </c>
      <c r="C11" s="7" t="inlineStr">
        <is>
          <t>검사</t>
        </is>
      </c>
      <c r="D11" s="7" t="inlineStr">
        <is>
          <t>정기</t>
        </is>
      </c>
      <c r="E11" s="7" t="inlineStr">
        <is>
          <t>최민재</t>
        </is>
      </c>
      <c r="F11" s="8" t="n">
        <v>1</v>
      </c>
      <c r="G11" s="9" t="n">
        <v>62000</v>
      </c>
      <c r="H11" s="8" t="n">
        <v>15</v>
      </c>
    </row>
    <row r="12">
      <c r="A12" s="6" t="n">
        <v>46087</v>
      </c>
      <c r="B12" s="7" t="inlineStr">
        <is>
          <t>PKG-01</t>
        </is>
      </c>
      <c r="C12" s="7" t="inlineStr">
        <is>
          <t>포장</t>
        </is>
      </c>
      <c r="D12" s="7" t="inlineStr">
        <is>
          <t>수시</t>
        </is>
      </c>
      <c r="E12" s="7" t="inlineStr">
        <is>
          <t>김현수</t>
        </is>
      </c>
      <c r="F12" s="8" t="n">
        <v>1</v>
      </c>
      <c r="G12" s="9" t="n">
        <v>48000</v>
      </c>
      <c r="H12" s="8" t="n">
        <v>15</v>
      </c>
    </row>
    <row r="13">
      <c r="A13" s="6" t="n">
        <v>46088</v>
      </c>
      <c r="B13" s="7" t="inlineStr">
        <is>
          <t>PKG-02</t>
        </is>
      </c>
      <c r="C13" s="7" t="inlineStr">
        <is>
          <t>포장</t>
        </is>
      </c>
      <c r="D13" s="7" t="inlineStr">
        <is>
          <t>정기</t>
        </is>
      </c>
      <c r="E13" s="7" t="inlineStr">
        <is>
          <t>박지훈</t>
        </is>
      </c>
      <c r="F13" s="8" t="n">
        <v>2</v>
      </c>
      <c r="G13" s="9" t="n">
        <v>96000</v>
      </c>
      <c r="H13" s="8" t="n">
        <v>120</v>
      </c>
    </row>
    <row r="14">
      <c r="A14" s="6" t="n">
        <v>46088</v>
      </c>
      <c r="B14" s="7" t="inlineStr">
        <is>
          <t>CNC-01</t>
        </is>
      </c>
      <c r="C14" s="7" t="inlineStr">
        <is>
          <t>가공</t>
        </is>
      </c>
      <c r="D14" s="7" t="inlineStr">
        <is>
          <t>정기</t>
        </is>
      </c>
      <c r="E14" s="7" t="inlineStr">
        <is>
          <t>이서연</t>
        </is>
      </c>
      <c r="F14" s="8" t="n">
        <v>4</v>
      </c>
      <c r="G14" s="9" t="n">
        <v>248000</v>
      </c>
      <c r="H14" s="8" t="n">
        <v>240</v>
      </c>
    </row>
    <row r="15">
      <c r="A15" s="6" t="n">
        <v>46089</v>
      </c>
      <c r="B15" s="7" t="inlineStr">
        <is>
          <t>CNC-02</t>
        </is>
      </c>
      <c r="C15" s="7" t="inlineStr">
        <is>
          <t>가공</t>
        </is>
      </c>
      <c r="D15" s="7" t="inlineStr">
        <is>
          <t>수시</t>
        </is>
      </c>
      <c r="E15" s="7" t="inlineStr">
        <is>
          <t>최민재</t>
        </is>
      </c>
      <c r="F15" s="8" t="n">
        <v>2</v>
      </c>
      <c r="G15" s="9" t="n">
        <v>96000</v>
      </c>
      <c r="H15" s="8" t="n">
        <v>30</v>
      </c>
    </row>
    <row r="16">
      <c r="A16" s="6" t="n">
        <v>46089</v>
      </c>
      <c r="B16" s="7" t="inlineStr">
        <is>
          <t>MCT-01</t>
        </is>
      </c>
      <c r="C16" s="7" t="inlineStr">
        <is>
          <t>가공</t>
        </is>
      </c>
      <c r="D16" s="7" t="inlineStr">
        <is>
          <t>정기</t>
        </is>
      </c>
      <c r="E16" s="7" t="inlineStr">
        <is>
          <t>김현수</t>
        </is>
      </c>
      <c r="F16" s="8" t="n">
        <v>4</v>
      </c>
      <c r="G16" s="9" t="n">
        <v>480000</v>
      </c>
      <c r="H16" s="8" t="n">
        <v>60</v>
      </c>
    </row>
    <row r="17">
      <c r="A17" s="6" t="n">
        <v>46090</v>
      </c>
      <c r="B17" s="7" t="inlineStr">
        <is>
          <t>ROB-01</t>
        </is>
      </c>
      <c r="C17" s="7" t="inlineStr">
        <is>
          <t>조립</t>
        </is>
      </c>
      <c r="D17" s="7" t="inlineStr">
        <is>
          <t>정기</t>
        </is>
      </c>
      <c r="E17" s="7" t="inlineStr">
        <is>
          <t>박지훈</t>
        </is>
      </c>
      <c r="F17" s="8" t="n">
        <v>1</v>
      </c>
      <c r="G17" s="9" t="n">
        <v>48000</v>
      </c>
      <c r="H17" s="8" t="n">
        <v>60</v>
      </c>
    </row>
    <row r="18">
      <c r="A18" s="6" t="n">
        <v>46090</v>
      </c>
      <c r="B18" s="7" t="inlineStr">
        <is>
          <t>ROB-02</t>
        </is>
      </c>
      <c r="C18" s="7" t="inlineStr">
        <is>
          <t>조립</t>
        </is>
      </c>
      <c r="D18" s="7" t="inlineStr">
        <is>
          <t>수시</t>
        </is>
      </c>
      <c r="E18" s="7" t="inlineStr">
        <is>
          <t>이서연</t>
        </is>
      </c>
      <c r="F18" s="8" t="n">
        <v>3</v>
      </c>
      <c r="G18" s="9" t="n">
        <v>360000</v>
      </c>
      <c r="H18" s="8" t="n">
        <v>75</v>
      </c>
    </row>
    <row r="19">
      <c r="A19" s="6" t="n">
        <v>46091</v>
      </c>
      <c r="B19" s="7" t="inlineStr">
        <is>
          <t>CNV-01</t>
        </is>
      </c>
      <c r="C19" s="7" t="inlineStr">
        <is>
          <t>조립</t>
        </is>
      </c>
      <c r="D19" s="7" t="inlineStr">
        <is>
          <t>정기</t>
        </is>
      </c>
      <c r="E19" s="7" t="inlineStr">
        <is>
          <t>최민재</t>
        </is>
      </c>
      <c r="F19" s="8" t="n">
        <v>0</v>
      </c>
      <c r="G19" s="9" t="n">
        <v>0</v>
      </c>
      <c r="H19" s="8" t="n">
        <v>0</v>
      </c>
    </row>
    <row r="20">
      <c r="A20" s="6" t="n">
        <v>46091</v>
      </c>
      <c r="B20" s="7" t="inlineStr">
        <is>
          <t>VIS-01</t>
        </is>
      </c>
      <c r="C20" s="7" t="inlineStr">
        <is>
          <t>검사</t>
        </is>
      </c>
      <c r="D20" s="7" t="inlineStr">
        <is>
          <t>정기</t>
        </is>
      </c>
      <c r="E20" s="7" t="inlineStr">
        <is>
          <t>김현수</t>
        </is>
      </c>
      <c r="F20" s="8" t="n">
        <v>2</v>
      </c>
      <c r="G20" s="9" t="n">
        <v>96000</v>
      </c>
      <c r="H20" s="8" t="n">
        <v>30</v>
      </c>
    </row>
    <row r="21">
      <c r="A21" s="6" t="n">
        <v>46092</v>
      </c>
      <c r="B21" s="7" t="inlineStr">
        <is>
          <t>VIS-02</t>
        </is>
      </c>
      <c r="C21" s="7" t="inlineStr">
        <is>
          <t>검사</t>
        </is>
      </c>
      <c r="D21" s="7" t="inlineStr">
        <is>
          <t>수시</t>
        </is>
      </c>
      <c r="E21" s="7" t="inlineStr">
        <is>
          <t>박지훈</t>
        </is>
      </c>
      <c r="F21" s="8" t="n">
        <v>3</v>
      </c>
      <c r="G21" s="9" t="n">
        <v>144000</v>
      </c>
      <c r="H21" s="8" t="n">
        <v>120</v>
      </c>
    </row>
    <row r="22">
      <c r="A22" s="6" t="n">
        <v>46092</v>
      </c>
      <c r="B22" s="7" t="inlineStr">
        <is>
          <t>PKG-01</t>
        </is>
      </c>
      <c r="C22" s="7" t="inlineStr">
        <is>
          <t>포장</t>
        </is>
      </c>
      <c r="D22" s="7" t="inlineStr">
        <is>
          <t>정기</t>
        </is>
      </c>
      <c r="E22" s="7" t="inlineStr">
        <is>
          <t>이서연</t>
        </is>
      </c>
      <c r="F22" s="8" t="n">
        <v>1</v>
      </c>
      <c r="G22" s="9" t="n">
        <v>120000</v>
      </c>
      <c r="H22" s="8" t="n">
        <v>15</v>
      </c>
    </row>
    <row r="23">
      <c r="A23" s="6" t="n">
        <v>46093</v>
      </c>
      <c r="B23" s="7" t="inlineStr">
        <is>
          <t>PKG-02</t>
        </is>
      </c>
      <c r="C23" s="7" t="inlineStr">
        <is>
          <t>포장</t>
        </is>
      </c>
      <c r="D23" s="7" t="inlineStr">
        <is>
          <t>정기</t>
        </is>
      </c>
      <c r="E23" s="7" t="inlineStr">
        <is>
          <t>최민재</t>
        </is>
      </c>
      <c r="F23" s="8" t="n">
        <v>0</v>
      </c>
      <c r="G23" s="9" t="n">
        <v>0</v>
      </c>
      <c r="H23" s="8" t="n">
        <v>0</v>
      </c>
    </row>
    <row r="24">
      <c r="A24" s="6" t="n">
        <v>46093</v>
      </c>
      <c r="B24" s="7" t="inlineStr">
        <is>
          <t>CNC-01</t>
        </is>
      </c>
      <c r="C24" s="7" t="inlineStr">
        <is>
          <t>가공</t>
        </is>
      </c>
      <c r="D24" s="7" t="inlineStr">
        <is>
          <t>수시</t>
        </is>
      </c>
      <c r="E24" s="7" t="inlineStr">
        <is>
          <t>김현수</t>
        </is>
      </c>
      <c r="F24" s="8" t="n">
        <v>4</v>
      </c>
      <c r="G24" s="9" t="n">
        <v>192000</v>
      </c>
      <c r="H24" s="8" t="n">
        <v>60</v>
      </c>
    </row>
    <row r="25">
      <c r="A25" s="6" t="n">
        <v>46094</v>
      </c>
      <c r="B25" s="7" t="inlineStr">
        <is>
          <t>CNC-02</t>
        </is>
      </c>
      <c r="C25" s="7" t="inlineStr">
        <is>
          <t>가공</t>
        </is>
      </c>
      <c r="D25" s="7" t="inlineStr">
        <is>
          <t>정기</t>
        </is>
      </c>
      <c r="E25" s="7" t="inlineStr">
        <is>
          <t>박지훈</t>
        </is>
      </c>
      <c r="F25" s="8" t="n">
        <v>1</v>
      </c>
      <c r="G25" s="9" t="n">
        <v>35000</v>
      </c>
      <c r="H25" s="8" t="n">
        <v>60</v>
      </c>
    </row>
    <row r="26">
      <c r="A26" s="6" t="n">
        <v>46094</v>
      </c>
      <c r="B26" s="7" t="inlineStr">
        <is>
          <t>MCT-01</t>
        </is>
      </c>
      <c r="C26" s="7" t="inlineStr">
        <is>
          <t>가공</t>
        </is>
      </c>
      <c r="D26" s="7" t="inlineStr">
        <is>
          <t>정기</t>
        </is>
      </c>
      <c r="E26" s="7" t="inlineStr">
        <is>
          <t>이서연</t>
        </is>
      </c>
      <c r="F26" s="8" t="n">
        <v>3</v>
      </c>
      <c r="G26" s="9" t="n">
        <v>105000</v>
      </c>
      <c r="H26" s="8" t="n">
        <v>180</v>
      </c>
    </row>
    <row r="27">
      <c r="A27" s="6" t="n">
        <v>46095</v>
      </c>
      <c r="B27" s="7" t="inlineStr">
        <is>
          <t>ROB-01</t>
        </is>
      </c>
      <c r="C27" s="7" t="inlineStr">
        <is>
          <t>조립</t>
        </is>
      </c>
      <c r="D27" s="7" t="inlineStr">
        <is>
          <t>수시</t>
        </is>
      </c>
      <c r="E27" s="7" t="inlineStr">
        <is>
          <t>최민재</t>
        </is>
      </c>
      <c r="F27" s="8" t="n">
        <v>1</v>
      </c>
      <c r="G27" s="9" t="n">
        <v>48000</v>
      </c>
      <c r="H27" s="8" t="n">
        <v>60</v>
      </c>
    </row>
    <row r="28">
      <c r="A28" s="6" t="n">
        <v>46095</v>
      </c>
      <c r="B28" s="7" t="inlineStr">
        <is>
          <t>ROB-02</t>
        </is>
      </c>
      <c r="C28" s="7" t="inlineStr">
        <is>
          <t>조립</t>
        </is>
      </c>
      <c r="D28" s="7" t="inlineStr">
        <is>
          <t>정기</t>
        </is>
      </c>
      <c r="E28" s="7" t="inlineStr">
        <is>
          <t>김현수</t>
        </is>
      </c>
      <c r="F28" s="8" t="n">
        <v>0</v>
      </c>
      <c r="G28" s="9" t="n">
        <v>0</v>
      </c>
      <c r="H28" s="8" t="n">
        <v>0</v>
      </c>
    </row>
    <row r="29">
      <c r="A29" s="6" t="n">
        <v>46096</v>
      </c>
      <c r="B29" s="7" t="inlineStr">
        <is>
          <t>CNV-01</t>
        </is>
      </c>
      <c r="C29" s="7" t="inlineStr">
        <is>
          <t>조립</t>
        </is>
      </c>
      <c r="D29" s="7" t="inlineStr">
        <is>
          <t>정기</t>
        </is>
      </c>
      <c r="E29" s="7" t="inlineStr">
        <is>
          <t>박지훈</t>
        </is>
      </c>
      <c r="F29" s="8" t="n">
        <v>0</v>
      </c>
      <c r="G29" s="9" t="n">
        <v>0</v>
      </c>
      <c r="H29" s="8" t="n">
        <v>0</v>
      </c>
    </row>
    <row r="30">
      <c r="A30" s="6" t="n">
        <v>46096</v>
      </c>
      <c r="B30" s="7" t="inlineStr">
        <is>
          <t>VIS-01</t>
        </is>
      </c>
      <c r="C30" s="7" t="inlineStr">
        <is>
          <t>검사</t>
        </is>
      </c>
      <c r="D30" s="7" t="inlineStr">
        <is>
          <t>수시</t>
        </is>
      </c>
      <c r="E30" s="7" t="inlineStr">
        <is>
          <t>이서연</t>
        </is>
      </c>
      <c r="F30" s="8" t="n">
        <v>0</v>
      </c>
      <c r="G30" s="9" t="n">
        <v>0</v>
      </c>
      <c r="H30" s="8" t="n">
        <v>0</v>
      </c>
    </row>
    <row r="31">
      <c r="A31" s="6" t="n">
        <v>46097</v>
      </c>
      <c r="B31" s="7" t="inlineStr">
        <is>
          <t>VIS-02</t>
        </is>
      </c>
      <c r="C31" s="7" t="inlineStr">
        <is>
          <t>검사</t>
        </is>
      </c>
      <c r="D31" s="7" t="inlineStr">
        <is>
          <t>정기</t>
        </is>
      </c>
      <c r="E31" s="7" t="inlineStr">
        <is>
          <t>최민재</t>
        </is>
      </c>
      <c r="F31" s="8" t="n">
        <v>1</v>
      </c>
      <c r="G31" s="9" t="n">
        <v>120000</v>
      </c>
      <c r="H31" s="8" t="n">
        <v>15</v>
      </c>
    </row>
    <row r="32">
      <c r="A32" s="6" t="n">
        <v>46097</v>
      </c>
      <c r="B32" s="7" t="inlineStr">
        <is>
          <t>PKG-01</t>
        </is>
      </c>
      <c r="C32" s="7" t="inlineStr">
        <is>
          <t>포장</t>
        </is>
      </c>
      <c r="D32" s="7" t="inlineStr">
        <is>
          <t>정기</t>
        </is>
      </c>
      <c r="E32" s="7" t="inlineStr">
        <is>
          <t>김현수</t>
        </is>
      </c>
      <c r="F32" s="8" t="n">
        <v>0</v>
      </c>
      <c r="G32" s="9" t="n">
        <v>0</v>
      </c>
      <c r="H32" s="8" t="n">
        <v>0</v>
      </c>
    </row>
    <row r="33">
      <c r="A33" s="6" t="n">
        <v>46098</v>
      </c>
      <c r="B33" s="7" t="inlineStr">
        <is>
          <t>PKG-02</t>
        </is>
      </c>
      <c r="C33" s="7" t="inlineStr">
        <is>
          <t>포장</t>
        </is>
      </c>
      <c r="D33" s="7" t="inlineStr">
        <is>
          <t>수시</t>
        </is>
      </c>
      <c r="E33" s="7" t="inlineStr">
        <is>
          <t>박지훈</t>
        </is>
      </c>
      <c r="F33" s="8" t="n">
        <v>0</v>
      </c>
      <c r="G33" s="9" t="n">
        <v>0</v>
      </c>
      <c r="H33" s="8" t="n">
        <v>0</v>
      </c>
    </row>
    <row r="34">
      <c r="A34" s="6" t="n">
        <v>46098</v>
      </c>
      <c r="B34" s="7" t="inlineStr">
        <is>
          <t>CNC-01</t>
        </is>
      </c>
      <c r="C34" s="7" t="inlineStr">
        <is>
          <t>가공</t>
        </is>
      </c>
      <c r="D34" s="7" t="inlineStr">
        <is>
          <t>정기</t>
        </is>
      </c>
      <c r="E34" s="7" t="inlineStr">
        <is>
          <t>이서연</t>
        </is>
      </c>
      <c r="F34" s="8" t="n">
        <v>1</v>
      </c>
      <c r="G34" s="9" t="n">
        <v>48000</v>
      </c>
      <c r="H34" s="8" t="n">
        <v>25</v>
      </c>
    </row>
    <row r="35">
      <c r="A35" s="6" t="n">
        <v>46099</v>
      </c>
      <c r="B35" s="7" t="inlineStr">
        <is>
          <t>CNC-02</t>
        </is>
      </c>
      <c r="C35" s="7" t="inlineStr">
        <is>
          <t>가공</t>
        </is>
      </c>
      <c r="D35" s="7" t="inlineStr">
        <is>
          <t>정기</t>
        </is>
      </c>
      <c r="E35" s="7" t="inlineStr">
        <is>
          <t>최민재</t>
        </is>
      </c>
      <c r="F35" s="8" t="n">
        <v>1</v>
      </c>
      <c r="G35" s="9" t="n">
        <v>48000</v>
      </c>
      <c r="H35" s="8" t="n">
        <v>25</v>
      </c>
    </row>
    <row r="36">
      <c r="A36" s="6" t="n">
        <v>46099</v>
      </c>
      <c r="B36" s="7" t="inlineStr">
        <is>
          <t>MCT-01</t>
        </is>
      </c>
      <c r="C36" s="7" t="inlineStr">
        <is>
          <t>가공</t>
        </is>
      </c>
      <c r="D36" s="7" t="inlineStr">
        <is>
          <t>수시</t>
        </is>
      </c>
      <c r="E36" s="7" t="inlineStr">
        <is>
          <t>김현수</t>
        </is>
      </c>
      <c r="F36" s="8" t="n">
        <v>0</v>
      </c>
      <c r="G36" s="9" t="n">
        <v>0</v>
      </c>
      <c r="H36" s="8" t="n">
        <v>0</v>
      </c>
    </row>
    <row r="37">
      <c r="A37" s="6" t="n">
        <v>46100</v>
      </c>
      <c r="B37" s="7" t="inlineStr">
        <is>
          <t>ROB-01</t>
        </is>
      </c>
      <c r="C37" s="7" t="inlineStr">
        <is>
          <t>조립</t>
        </is>
      </c>
      <c r="D37" s="7" t="inlineStr">
        <is>
          <t>정기</t>
        </is>
      </c>
      <c r="E37" s="7" t="inlineStr">
        <is>
          <t>박지훈</t>
        </is>
      </c>
      <c r="F37" s="8" t="n">
        <v>1</v>
      </c>
      <c r="G37" s="9" t="n">
        <v>48000</v>
      </c>
      <c r="H37" s="8" t="n">
        <v>60</v>
      </c>
    </row>
    <row r="38">
      <c r="A38" s="6" t="n">
        <v>46100</v>
      </c>
      <c r="B38" s="7" t="inlineStr">
        <is>
          <t>ROB-02</t>
        </is>
      </c>
      <c r="C38" s="7" t="inlineStr">
        <is>
          <t>조립</t>
        </is>
      </c>
      <c r="D38" s="7" t="inlineStr">
        <is>
          <t>정기</t>
        </is>
      </c>
      <c r="E38" s="7" t="inlineStr">
        <is>
          <t>이서연</t>
        </is>
      </c>
      <c r="F38" s="8" t="n">
        <v>2</v>
      </c>
      <c r="G38" s="9" t="n">
        <v>124000</v>
      </c>
      <c r="H38" s="8" t="n">
        <v>120</v>
      </c>
    </row>
    <row r="39">
      <c r="A39" s="6" t="n">
        <v>46101</v>
      </c>
      <c r="B39" s="7" t="inlineStr">
        <is>
          <t>CNV-01</t>
        </is>
      </c>
      <c r="C39" s="7" t="inlineStr">
        <is>
          <t>조립</t>
        </is>
      </c>
      <c r="D39" s="7" t="inlineStr">
        <is>
          <t>수시</t>
        </is>
      </c>
      <c r="E39" s="7" t="inlineStr">
        <is>
          <t>최민재</t>
        </is>
      </c>
      <c r="F39" s="8" t="n">
        <v>1</v>
      </c>
      <c r="G39" s="9" t="n">
        <v>48000</v>
      </c>
      <c r="H39" s="8" t="n">
        <v>15</v>
      </c>
    </row>
    <row r="40">
      <c r="A40" s="6" t="n">
        <v>46101</v>
      </c>
      <c r="B40" s="7" t="inlineStr">
        <is>
          <t>VIS-01</t>
        </is>
      </c>
      <c r="C40" s="7" t="inlineStr">
        <is>
          <t>검사</t>
        </is>
      </c>
      <c r="D40" s="7" t="inlineStr">
        <is>
          <t>정기</t>
        </is>
      </c>
      <c r="E40" s="7" t="inlineStr">
        <is>
          <t>김현수</t>
        </is>
      </c>
      <c r="F40" s="8" t="n">
        <v>4</v>
      </c>
      <c r="G40" s="9" t="n">
        <v>192000</v>
      </c>
      <c r="H40" s="8" t="n">
        <v>100</v>
      </c>
    </row>
    <row r="41">
      <c r="A41" s="6" t="n">
        <v>46102</v>
      </c>
      <c r="B41" s="7" t="inlineStr">
        <is>
          <t>VIS-02</t>
        </is>
      </c>
      <c r="C41" s="7" t="inlineStr">
        <is>
          <t>검사</t>
        </is>
      </c>
      <c r="D41" s="7" t="inlineStr">
        <is>
          <t>정기</t>
        </is>
      </c>
      <c r="E41" s="7" t="inlineStr">
        <is>
          <t>박지훈</t>
        </is>
      </c>
      <c r="F41" s="8" t="n">
        <v>0</v>
      </c>
      <c r="G41" s="9" t="n">
        <v>0</v>
      </c>
      <c r="H41" s="8" t="n">
        <v>0</v>
      </c>
    </row>
    <row r="42">
      <c r="A42" s="6" t="n">
        <v>46102</v>
      </c>
      <c r="B42" s="7" t="inlineStr">
        <is>
          <t>PKG-01</t>
        </is>
      </c>
      <c r="C42" s="7" t="inlineStr">
        <is>
          <t>포장</t>
        </is>
      </c>
      <c r="D42" s="7" t="inlineStr">
        <is>
          <t>수시</t>
        </is>
      </c>
      <c r="E42" s="7" t="inlineStr">
        <is>
          <t>이서연</t>
        </is>
      </c>
      <c r="F42" s="8" t="n">
        <v>4</v>
      </c>
      <c r="G42" s="9" t="n">
        <v>192000</v>
      </c>
      <c r="H42" s="8" t="n">
        <v>160</v>
      </c>
    </row>
    <row r="43">
      <c r="A43" s="6" t="n">
        <v>46103</v>
      </c>
      <c r="B43" s="7" t="inlineStr">
        <is>
          <t>PKG-02</t>
        </is>
      </c>
      <c r="C43" s="7" t="inlineStr">
        <is>
          <t>포장</t>
        </is>
      </c>
      <c r="D43" s="7" t="inlineStr">
        <is>
          <t>정기</t>
        </is>
      </c>
      <c r="E43" s="7" t="inlineStr">
        <is>
          <t>최민재</t>
        </is>
      </c>
      <c r="F43" s="8" t="n">
        <v>0</v>
      </c>
      <c r="G43" s="9" t="n">
        <v>0</v>
      </c>
      <c r="H43" s="8" t="n">
        <v>0</v>
      </c>
    </row>
    <row r="45" ht="30" customHeight="1">
      <c r="A45" s="10" t="inlineStr">
        <is>
          <t>40건입니다. 부분합을 넣기 전에 반드시 [공정] 기준으로 정렬하세요.</t>
        </is>
      </c>
    </row>
  </sheetData>
  <mergeCells count="1">
    <mergeCell ref="A45:H45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" customWidth="1" min="3" max="3"/>
    <col width="60" customWidth="1" min="4" max="4"/>
  </cols>
  <sheetData>
    <row r="1" ht="26" customHeight="1">
      <c r="A1" s="11" t="inlineStr">
        <is>
          <t>목표값 찾기 · 시나리오용 원가 모형</t>
        </is>
      </c>
    </row>
    <row r="2" ht="30" customHeight="1">
      <c r="A2" s="10" t="inlineStr">
        <is>
          <t>파란 칸은 직접 넣은 숫자, 굵은 칸은 수식입니다. 수식 칸을 클릭해 안을 확인하세요.</t>
        </is>
      </c>
    </row>
    <row r="4">
      <c r="A4" s="12" t="inlineStr">
        <is>
          <t>월 생산수량(개)</t>
        </is>
      </c>
      <c r="B4" s="13" t="n">
        <v>5000</v>
      </c>
    </row>
    <row r="5">
      <c r="A5" s="12" t="inlineStr">
        <is>
          <t>개당 재료비(원)</t>
        </is>
      </c>
      <c r="B5" s="13" t="n">
        <v>3200</v>
      </c>
    </row>
    <row r="6">
      <c r="A6" s="12" t="inlineStr">
        <is>
          <t>개당 가공비(원)</t>
        </is>
      </c>
      <c r="B6" s="13" t="n">
        <v>1450</v>
      </c>
    </row>
    <row r="7">
      <c r="A7" s="12" t="inlineStr">
        <is>
          <t>월 고정비(원)</t>
        </is>
      </c>
      <c r="B7" s="13" t="n">
        <v>12000000</v>
      </c>
    </row>
    <row r="8">
      <c r="A8" s="12" t="inlineStr">
        <is>
          <t>불량률</t>
        </is>
      </c>
      <c r="B8" s="14" t="n">
        <v>0.03</v>
      </c>
    </row>
    <row r="10">
      <c r="A10" s="15" t="inlineStr">
        <is>
          <t>양품 수량</t>
        </is>
      </c>
      <c r="B10" s="16">
        <f>ROUND(B4*(1-B8),0)</f>
        <v/>
      </c>
    </row>
    <row r="11">
      <c r="A11" s="15" t="inlineStr">
        <is>
          <t>총 변동비</t>
        </is>
      </c>
      <c r="B11" s="16">
        <f>B4*(B5+B6)</f>
        <v/>
      </c>
    </row>
    <row r="12">
      <c r="A12" s="15" t="inlineStr">
        <is>
          <t>총 원가</t>
        </is>
      </c>
      <c r="B12" s="16">
        <f>B11+B7</f>
        <v/>
      </c>
    </row>
    <row r="13">
      <c r="A13" s="15" t="inlineStr">
        <is>
          <t>양품 1개당 원가</t>
        </is>
      </c>
      <c r="B13" s="16">
        <f>ROUND(B12/B10,0)</f>
        <v/>
      </c>
    </row>
    <row r="15">
      <c r="A15" s="17" t="inlineStr">
        <is>
          <t>→ 목표값 찾기 : 양품 1개당 원가[B13] 가 6,000원이 되려면 월 생산수량[B4] 은 몇 개?</t>
        </is>
      </c>
    </row>
    <row r="16">
      <c r="A16" s="17" t="inlineStr">
        <is>
          <t>→ 시나리오 : 불량률 1%/3%/6% 세 경우의 '양품 1개당 원가' 를 요약표로</t>
        </is>
      </c>
    </row>
  </sheetData>
  <mergeCells count="2">
    <mergeCell ref="A1:D1"/>
    <mergeCell ref="A2:D2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selection activeCell="A1" sqref="A1"/>
    </sheetView>
  </sheetViews>
  <sheetFormatPr baseColWidth="8" defaultRowHeight="15"/>
  <cols>
    <col width="5" customWidth="1" min="1" max="1"/>
    <col width="68" customWidth="1" min="2" max="2"/>
    <col width="16" customWidth="1" min="3" max="3"/>
    <col width="40" customWidth="1" min="4" max="4"/>
  </cols>
  <sheetData>
    <row r="1" ht="26" customHeight="1">
      <c r="A1" s="11" t="inlineStr">
        <is>
          <t>2급 ③ 분석작업 미션 6가지</t>
        </is>
      </c>
    </row>
    <row r="2" ht="30" customHeight="1">
      <c r="A2" s="10" t="inlineStr">
        <is>
          <t>부분합·피벗은 '어느 메뉴에서 무엇을 고르는지'가 전부입니다. 한 번에 외우지 말고 순서대로 따라가세요.</t>
        </is>
      </c>
    </row>
    <row r="4" ht="24" customHeight="1">
      <c r="A4" s="5" t="inlineStr">
        <is>
          <t>번호</t>
        </is>
      </c>
      <c r="B4" s="5" t="inlineStr">
        <is>
          <t>미션 — 무엇을 하는가</t>
        </is>
      </c>
      <c r="C4" s="5" t="inlineStr">
        <is>
          <t>답(여기에 입력)</t>
        </is>
      </c>
      <c r="D4" s="5" t="inlineStr">
        <is>
          <t>힌트 (쓰는 함수·메뉴)</t>
        </is>
      </c>
    </row>
    <row r="5" ht="30" customHeight="1">
      <c r="A5" s="7" t="n">
        <v>1</v>
      </c>
      <c r="B5" s="18" t="inlineStr">
        <is>
          <t>[점검이력] 공정별로 이상건수 합계와 수리비용 합계를 부분합으로 내세요.</t>
        </is>
      </c>
      <c r="C5" s="19" t="n"/>
      <c r="D5" s="18" t="inlineStr">
        <is>
          <t>먼저 공정 기준 정렬 → 데이터 → 부분합</t>
        </is>
      </c>
    </row>
    <row r="6" ht="30" customHeight="1">
      <c r="A6" s="7" t="n">
        <v>2</v>
      </c>
      <c r="B6" s="18" t="inlineStr">
        <is>
          <t>[점검이력] 같은 표에 '공정별 평균 정지시간' 부분합을 하나 더 덧붙이세요.</t>
        </is>
      </c>
      <c r="C6" s="19" t="n"/>
      <c r="D6" s="18" t="inlineStr">
        <is>
          <t>두 번째 부분합에서 '새로운 값으로 대치' 체크를 끕니다</t>
        </is>
      </c>
    </row>
    <row r="7" ht="30" customHeight="1">
      <c r="A7" s="7" t="n">
        <v>3</v>
      </c>
      <c r="B7" s="18" t="inlineStr">
        <is>
          <t>[점검이력] 새 시트에 피벗 테이블을 만드세요. 행=공정, 열=점검구분, 값=수리비용 합계.</t>
        </is>
      </c>
      <c r="C7" s="19" t="n"/>
      <c r="D7" s="18" t="inlineStr">
        <is>
          <t>삽입 → 피벗 테이블</t>
        </is>
      </c>
    </row>
    <row r="8" ht="30" customHeight="1">
      <c r="A8" s="7" t="n">
        <v>4</v>
      </c>
      <c r="B8" s="18" t="inlineStr">
        <is>
          <t>[점검이력] 공정 오름차순, 같은 공정 안에서는 수리비용 내림차순으로 정렬하세요.</t>
        </is>
      </c>
      <c r="C8" s="19" t="n"/>
      <c r="D8" s="18" t="inlineStr">
        <is>
          <t>데이터 → 정렬 → 기준 추가</t>
        </is>
      </c>
    </row>
    <row r="9" ht="30" customHeight="1">
      <c r="A9" s="7" t="n">
        <v>5</v>
      </c>
      <c r="B9" s="18" t="inlineStr">
        <is>
          <t>[원가모형] 양품 1개당 원가[B13] 가 6,000원이 되려면 월 생산수량[B4] 은 몇 개여야 하는지 구하세요.</t>
        </is>
      </c>
      <c r="C9" s="19" t="n"/>
      <c r="D9" s="18" t="inlineStr">
        <is>
          <t>데이터 → 가상 분석 → 목표값 찾기</t>
        </is>
      </c>
    </row>
    <row r="10" ht="30" customHeight="1">
      <c r="A10" s="7" t="n">
        <v>6</v>
      </c>
      <c r="B10" s="18" t="inlineStr">
        <is>
          <t>[원가모형] 불량률[B8] 이 1% · 3% · 6% 일 때의 양품 1개당 원가[B13] 를 시나리오 요약으로 만드세요.</t>
        </is>
      </c>
      <c r="C10" s="19" t="n"/>
      <c r="D10" s="18" t="inlineStr">
        <is>
          <t>데이터 → 가상 분석 → 시나리오 관리자</t>
        </is>
      </c>
    </row>
  </sheetData>
  <mergeCells count="2">
    <mergeCell ref="A1:D1"/>
    <mergeCell ref="A2:D2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54" customWidth="1" min="3" max="3"/>
    <col width="56" customWidth="1" min="4" max="4"/>
  </cols>
  <sheetData>
    <row r="1" ht="26" customHeight="1">
      <c r="A1" s="11" t="inlineStr">
        <is>
          <t>2급 ③ 분석작업 정답 — 메뉴 순서</t>
        </is>
      </c>
    </row>
    <row r="2" ht="30" customHeight="1">
      <c r="A2" s="10" t="inlineStr">
        <is>
          <t>혼자 공부할 때만 펼쳐 보세요. 먼저 스스로 만들어 보고, 막혔을 때 확인하는 칸입니다.</t>
        </is>
      </c>
    </row>
    <row r="4" ht="24" customHeight="1">
      <c r="A4" s="5" t="inlineStr">
        <is>
          <t>번호</t>
        </is>
      </c>
      <c r="B4" s="5" t="inlineStr">
        <is>
          <t>미션</t>
        </is>
      </c>
      <c r="C4" s="5" t="inlineStr">
        <is>
          <t>정답 수식 / 순서</t>
        </is>
      </c>
      <c r="D4" s="5" t="inlineStr">
        <is>
          <t>왜 이렇게 되는가</t>
        </is>
      </c>
    </row>
    <row r="5" ht="32" customHeight="1">
      <c r="A5" s="7" t="n">
        <v>1</v>
      </c>
      <c r="B5" s="18" t="inlineStr">
        <is>
          <t>부분합 ①</t>
        </is>
      </c>
      <c r="C5" s="20" t="inlineStr">
        <is>
          <t>① 공정(C열) 클릭 → 데이터 → 정렬 → 오름차순  ② 데이터 → 부분합</t>
        </is>
      </c>
      <c r="D5" s="18" t="inlineStr">
        <is>
          <t>그룹화할 항목 : 공정 / 사용할 함수 : 합계 / 부분합 계산 항목 : 이상건수, 수리비용</t>
        </is>
      </c>
    </row>
    <row r="6" ht="32" customHeight="1">
      <c r="A6" s="21" t="n">
        <v>2</v>
      </c>
      <c r="B6" s="22" t="inlineStr">
        <is>
          <t>부분합 ②(중첩)</t>
        </is>
      </c>
      <c r="C6" s="23" t="inlineStr">
        <is>
          <t>다시 데이터 → 부분합 → 함수 '평균', 항목 '정지시간(분)'</t>
        </is>
      </c>
      <c r="D6" s="22" t="inlineStr">
        <is>
          <t>★ '새로운 값으로 대치' 체크를 반드시 해제해야 앞의 합계가 남습니다</t>
        </is>
      </c>
    </row>
    <row r="7" ht="32" customHeight="1">
      <c r="A7" s="7" t="n">
        <v>3</v>
      </c>
      <c r="B7" s="18" t="inlineStr">
        <is>
          <t>피벗 테이블</t>
        </is>
      </c>
      <c r="C7" s="20" t="inlineStr">
        <is>
          <t>표 안 셀 클릭 → 삽입 → 피벗 테이블 → 새 워크시트</t>
        </is>
      </c>
      <c r="D7" s="18" t="inlineStr">
        <is>
          <t>행 : 공정 / 열 : 점검구분 / 값 : 수리비용 (값 필드 설정 → 합계)</t>
        </is>
      </c>
    </row>
    <row r="8" ht="32" customHeight="1">
      <c r="A8" s="21" t="n">
        <v>4</v>
      </c>
      <c r="B8" s="22" t="inlineStr">
        <is>
          <t>두 기준 정렬</t>
        </is>
      </c>
      <c r="C8" s="23" t="inlineStr">
        <is>
          <t>데이터 → 정렬 → 첫 기준 공정 오름차순 → 기준 추가 → 수리비용 내림차순</t>
        </is>
      </c>
      <c r="D8" s="22" t="inlineStr">
        <is>
          <t>정렬 기준을 추가한 순서대로 적용됩니다</t>
        </is>
      </c>
    </row>
    <row r="9" ht="32" customHeight="1">
      <c r="A9" s="7" t="n">
        <v>5</v>
      </c>
      <c r="B9" s="18" t="inlineStr">
        <is>
          <t>목표값 찾기</t>
        </is>
      </c>
      <c r="C9" s="20" t="inlineStr">
        <is>
          <t>데이터 → 가상 분석 → 목표값 찾기</t>
        </is>
      </c>
      <c r="D9" s="18" t="inlineStr">
        <is>
          <t>수식 셀 $B$13 / 찾는 값 6000 / 값을 바꿀 셀 $B$4 — 바꿀 셀은 수식이 아닌 숫자 칸</t>
        </is>
      </c>
    </row>
    <row r="10" ht="32" customHeight="1">
      <c r="A10" s="21" t="n">
        <v>6</v>
      </c>
      <c r="B10" s="22" t="inlineStr">
        <is>
          <t>시나리오</t>
        </is>
      </c>
      <c r="C10" s="23" t="inlineStr">
        <is>
          <t>데이터 → 가상 분석 → 시나리오 관리자 → 추가</t>
        </is>
      </c>
      <c r="D10" s="22" t="inlineStr">
        <is>
          <t>변경 셀 $B$8 · 이름을 불량률1%/3%/6% 로 세 개 만들고 [요약] → 결과 셀 $B$13</t>
        </is>
      </c>
    </row>
  </sheetData>
  <mergeCells count="2">
    <mergeCell ref="A1:D1"/>
    <mergeCell ref="A2:D2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2026-09-21T02:41:50Z</dcterms:created>
  <dcterms:modified xmlns:dcterms="http://purl.org/dc/terms/" xmlns:xsi="http://www.w3.org/2001/XMLSchema-instance" xsi:type="dcterms:W3CDTF">2026-09-21T02:41:50Z</dcterms:modified>
</cp:coreProperties>
</file>