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문제지" sheetId="2" state="visible" r:id="rId2"/>
    <sheet xmlns:r="http://schemas.openxmlformats.org/officeDocument/2006/relationships" name="기본작업-1" sheetId="3" state="visible" r:id="rId3"/>
    <sheet xmlns:r="http://schemas.openxmlformats.org/officeDocument/2006/relationships" name="기본작업-2" sheetId="4" state="visible" r:id="rId4"/>
    <sheet xmlns:r="http://schemas.openxmlformats.org/officeDocument/2006/relationships" name="기본작업-3" sheetId="5" state="visible" r:id="rId5"/>
    <sheet xmlns:r="http://schemas.openxmlformats.org/officeDocument/2006/relationships" name="계산작업" sheetId="6" state="visible" r:id="rId6"/>
    <sheet xmlns:r="http://schemas.openxmlformats.org/officeDocument/2006/relationships" name="분석작업-1" sheetId="7" state="visible" r:id="rId7"/>
    <sheet xmlns:r="http://schemas.openxmlformats.org/officeDocument/2006/relationships" name="분석작업-2" sheetId="8" state="visible" r:id="rId8"/>
    <sheet xmlns:r="http://schemas.openxmlformats.org/officeDocument/2006/relationships" name="기타작업-1" sheetId="9" state="visible" r:id="rId9"/>
    <sheet xmlns:r="http://schemas.openxmlformats.org/officeDocument/2006/relationships" name="기타작업-2" sheetId="10" state="visible" r:id="rId10"/>
    <sheet xmlns:r="http://schemas.openxmlformats.org/officeDocument/2006/relationships" name="채점표" sheetId="11" state="visible" r:id="rId11"/>
    <sheet xmlns:r="http://schemas.openxmlformats.org/officeDocument/2006/relationships" name="정답·해설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  <font>
      <b val="1"/>
      <color rgb="001F3864"/>
      <sz val="11"/>
    </font>
    <font>
      <i val="1"/>
      <color rgb="00A6A6A6"/>
    </font>
    <font>
      <b val="1"/>
      <color rgb="001F3864"/>
      <sz val="13"/>
    </font>
    <font>
      <b val="1"/>
      <color rgb="001F3864"/>
      <sz val="16"/>
    </font>
    <font>
      <color rgb="00806000"/>
      <sz val="10"/>
    </font>
    <font>
      <b val="1"/>
      <color rgb="00FFFFFF"/>
      <sz val="12"/>
    </font>
    <font>
      <b val="1"/>
      <color rgb="002E5C8A"/>
    </font>
    <font>
      <sz val="10.5"/>
    </font>
    <font>
      <b val="1"/>
      <color rgb="00FFFFFF"/>
      <sz val="11"/>
    </font>
    <font>
      <color rgb="007F7F7F"/>
      <sz val="9.5"/>
    </font>
    <font>
      <b val="1"/>
      <sz val="12"/>
    </font>
    <font>
      <name val="Consolas"/>
      <b val="1"/>
      <color rgb="001F4E79"/>
      <sz val="10"/>
    </font>
    <font>
      <sz val="11"/>
    </font>
    <font>
      <b val="1"/>
      <color rgb="002E5C8A"/>
      <sz val="12"/>
    </font>
  </fonts>
  <fills count="8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F8E1"/>
      </patternFill>
    </fill>
    <fill>
      <patternFill patternType="solid">
        <fgColor rgb="00DDEBF7"/>
      </patternFill>
    </fill>
    <fill>
      <patternFill patternType="solid">
        <fgColor rgb="00E7EE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1" pivotButton="0" quotePrefix="0" xfId="0"/>
    <xf numFmtId="0" fontId="11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9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vertical="center"/>
    </xf>
    <xf numFmtId="0" fontId="0" fillId="4" borderId="1" pivotButton="0" quotePrefix="0" xfId="0"/>
    <xf numFmtId="0" fontId="6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164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4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'기타작업-2'!B3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'기타작업-2'!$A$4:$A$9</f>
            </numRef>
          </cat>
          <val>
            <numRef>
              <f>'기타작업-2'!$B$4:$B$9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실전 모의고사 제1회 — 설비 보전</t>
        </is>
      </c>
    </row>
    <row r="3" ht="19" customHeight="1">
      <c r="B3" s="2" t="inlineStr">
        <is>
          <t>컴활 2급 실기와 같은 시트 이름 · 같은 배점입니다. 시간 40분, 70점 이상이면 합격.</t>
        </is>
      </c>
    </row>
    <row r="4" ht="24" customHeight="1">
      <c r="B4" s="3" t="inlineStr">
        <is>
          <t>순서</t>
        </is>
      </c>
    </row>
    <row r="5" ht="19" customHeight="1">
      <c r="B5" s="2" t="inlineStr">
        <is>
          <t>① [문제지] 시트에서 문제를 읽고 → 각 작업 시트(기본작업-1 …)에서 풉니다.</t>
        </is>
      </c>
    </row>
    <row r="6" ht="19" customHeight="1">
      <c r="B6" s="2" t="inlineStr">
        <is>
          <t>② 계산작업의 노란 칸에는 0 이 들어 있습니다. 0 을 지우고 첫 칸에 수식 → 끝까지 끌어내리기.</t>
        </is>
      </c>
    </row>
    <row r="7" ht="19" customHeight="1">
      <c r="B7" s="2" t="inlineStr">
        <is>
          <t>③ 다 풀었으면 [채점표] — 자동 칸은 저절로 점수가 나오고, '스스로' 칸은 [확인 방법] 을 보고 O / X 를 고릅니다.</t>
        </is>
      </c>
    </row>
    <row r="8" ht="19" customHeight="1">
      <c r="B8" s="2" t="inlineStr">
        <is>
          <t>④ 틀린 것은 [정답·해설] 에서 확인합니다.</t>
        </is>
      </c>
    </row>
    <row r="9" ht="34" customHeight="1">
      <c r="B9" s="4" t="inlineStr">
        <is>
          <t>매크로를 만들면 '다른 이름으로 저장' 에서 파일 형식을 Excel 매크로 사용 통합 문서(*.xlsm) 로 바꿔야 매크로가 남습니다.</t>
        </is>
      </c>
    </row>
    <row r="10" ht="34" customHeight="1">
      <c r="B10" s="4" t="inlineStr">
        <is>
          <t>값이 0 으로만 보이면 Ctrl + Alt + F9. 자동 채점 칸이 안 바뀌어 보일 때도 같습니다.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0" customWidth="1" min="3" max="3"/>
  </cols>
  <sheetData>
    <row r="1" ht="26" customHeight="1">
      <c r="A1" s="5" t="inlineStr">
        <is>
          <t>컴퓨터활용능력 2급 실기 · 실전 모의고사 제1회 (설비 보전)</t>
        </is>
      </c>
    </row>
    <row r="2" ht="30" customHeight="1">
      <c r="A2" s="6" t="inlineStr">
        <is>
          <t>시험 시간 40분 · 100점 만점 · 70점 이상 합격.  시작 시각을 적어 두고 시작하세요 →  시작 [      :      ]  끝 [      :      ]      다 풀면 [채점표] 시트에서 점수를 확인합니다.</t>
        </is>
      </c>
    </row>
    <row r="4" ht="22" customHeight="1">
      <c r="A4" s="7" t="inlineStr">
        <is>
          <t xml:space="preserve">  기본작업-1  ·  5점</t>
        </is>
      </c>
    </row>
    <row r="5" ht="18" customHeight="1">
      <c r="B5" s="8" t="inlineStr"/>
      <c r="C5" s="9" t="inlineStr">
        <is>
          <t>[기본작업-1] 시트에 다음 자료를 [A4] 부터 그대로 입력하시오. (날짜는 2026-03-02 처럼)</t>
        </is>
      </c>
    </row>
    <row r="6">
      <c r="C6" s="10" t="inlineStr">
        <is>
          <t>설비코드  |  설비명  |  설치일  |  점검주기(일)  |  담당자  |  비고</t>
        </is>
      </c>
    </row>
    <row r="7">
      <c r="C7" s="11" t="inlineStr">
        <is>
          <t>PR-01  |  유압프레스  |  2019-03-04  |  30  |  김도윤  |  금형 교체</t>
        </is>
      </c>
    </row>
    <row r="8">
      <c r="C8" s="11" t="inlineStr">
        <is>
          <t>WD-02  |  스폿용접기  |  2021-07-12  |  14  |  이서연  |  (비움)</t>
        </is>
      </c>
    </row>
    <row r="9">
      <c r="C9" s="11" t="inlineStr">
        <is>
          <t>CN-03  |  CNC선반  |  2018-11-20  |  60  |  박지훈  |  주축 점검</t>
        </is>
      </c>
    </row>
    <row r="10">
      <c r="C10" s="11" t="inlineStr">
        <is>
          <t>RB-04  |  조립로봇  |  2023-02-01  |  90  |  최하은  |  (비움)</t>
        </is>
      </c>
    </row>
    <row r="11">
      <c r="C11" s="11" t="inlineStr">
        <is>
          <t>CV-05  |  벨트컨베이어  |  2020-05-15  |  7  |  정민재  |  벨트 장력</t>
        </is>
      </c>
    </row>
    <row r="12">
      <c r="C12" s="11" t="inlineStr">
        <is>
          <t>AC-06  |  공기압축기  |  2017-09-08  |  30  |  한수아  |  드레인</t>
        </is>
      </c>
    </row>
    <row r="13">
      <c r="C13" s="11" t="inlineStr">
        <is>
          <t>MC-07  |  머시닝센터  |  2022-10-03  |  45  |  오지성  |  (비움)</t>
        </is>
      </c>
    </row>
    <row r="14" ht="30" customHeight="1">
      <c r="A14" s="6" t="inlineStr">
        <is>
          <t>↑ (비움) 칸은 아무것도 입력하지 않습니다.</t>
        </is>
      </c>
    </row>
    <row r="16" ht="22" customHeight="1">
      <c r="A16" s="7" t="inlineStr">
        <is>
          <t xml:space="preserve">  기본작업-2  ·  10점</t>
        </is>
      </c>
    </row>
    <row r="17" ht="18" customHeight="1">
      <c r="B17" s="8" t="inlineStr">
        <is>
          <t>1)</t>
        </is>
      </c>
      <c r="C17" s="9" t="inlineStr">
        <is>
          <t>[A1:G1] 셀을 병합하여 가운데 맞춤, 글꼴 '굴림' · 16pt · 굵게</t>
        </is>
      </c>
    </row>
    <row r="18" ht="18" customHeight="1">
      <c r="B18" s="8" t="inlineStr">
        <is>
          <t>2)</t>
        </is>
      </c>
      <c r="C18" s="9" t="inlineStr">
        <is>
          <t>[A3:G3] 영역은 가운데 맞춤, 채우기 색 '노랑'</t>
        </is>
      </c>
    </row>
    <row r="19" ht="18" customHeight="1">
      <c r="B19" s="8" t="inlineStr">
        <is>
          <t>3)</t>
        </is>
      </c>
      <c r="C19" s="9" t="inlineStr">
        <is>
          <t>[D4:D12] 영역에 사용자 지정 서식으로 천 단위 쉼표와 "원" 표시 (예: 4,200원)</t>
        </is>
      </c>
    </row>
    <row r="20" ht="18" customHeight="1">
      <c r="B20" s="8" t="inlineStr">
        <is>
          <t>4)</t>
        </is>
      </c>
      <c r="C20" s="9" t="inlineStr">
        <is>
          <t>[G4:G12] 영역의 이름을 '재고금액' 으로 정의</t>
        </is>
      </c>
    </row>
    <row r="21" ht="18" customHeight="1">
      <c r="B21" s="8" t="inlineStr">
        <is>
          <t>5)</t>
        </is>
      </c>
      <c r="C21" s="9" t="inlineStr">
        <is>
          <t>[A3:G12] 영역에 '모든 테두리'</t>
        </is>
      </c>
    </row>
    <row r="22" ht="22" customHeight="1">
      <c r="A22" s="7" t="inlineStr">
        <is>
          <t xml:space="preserve">  기본작업-3  ·  5점</t>
        </is>
      </c>
    </row>
    <row r="23" ht="32" customHeight="1">
      <c r="B23" s="8" t="inlineStr"/>
      <c r="C23" s="9" t="inlineStr">
        <is>
          <t>[A3:G12] 영역에서 분류가 '베어링' 이면서 재고가 50 이하인 행만 고급 필터로 추출하시오.
· 조건은 [A15] 부터 입력  · 결과는 [A19] 부터 표시</t>
        </is>
      </c>
    </row>
    <row r="24" ht="22" customHeight="1">
      <c r="A24" s="7" t="inlineStr">
        <is>
          <t xml:space="preserve">  계산작업  ·  40점 (각 8점)</t>
        </is>
      </c>
    </row>
    <row r="25" ht="32" customHeight="1">
      <c r="B25" s="8" t="inlineStr">
        <is>
          <t>1.</t>
        </is>
      </c>
      <c r="C25" s="9" t="inlineStr">
        <is>
          <t>[표1]에서 가동률[E3:E10]이 90% 이상이면 "우수", 80% 이상이면 "보통", 그 외는 "점검" 을 판정[F3:F10]에 표시하시오. → [F3:F10]  (IF 함수 사용)</t>
        </is>
      </c>
    </row>
    <row r="26" ht="32" customHeight="1">
      <c r="B26" s="8" t="inlineStr">
        <is>
          <t>2.</t>
        </is>
      </c>
      <c r="C26" s="9" t="inlineStr">
        <is>
          <t>[표2]에서 부서[A15:A22]별 수리비[C15:C22]의 합계를 수리비 합계[F15:F17]에 구하시오. (부서 이름은 E열) → [F15:F17]  (SUMIF 함수 사용)</t>
        </is>
      </c>
    </row>
    <row r="27" ht="32" customHeight="1">
      <c r="B27" s="8" t="inlineStr">
        <is>
          <t>3.</t>
        </is>
      </c>
      <c r="C27" s="9" t="inlineStr">
        <is>
          <t>[표3]에서 설비코드[A27:A32]의 앞 두 글자와 코드표[E27:F30]를 이용하여 공정[C27:C32]에 공정명을 표시하시오. → [C27:C32]  (VLOOKUP, LEFT 함수 사용)</t>
        </is>
      </c>
    </row>
    <row r="28" ht="32" customHeight="1">
      <c r="B28" s="8" t="inlineStr">
        <is>
          <t>4.</t>
        </is>
      </c>
      <c r="C28" s="9" t="inlineStr">
        <is>
          <t>[표4]에서 점검일[B37:B42]의 요일을 "월"~"일" 로 요일[C37:C42]에 표시하시오. (WEEKDAY 함수는 월요일이 1 이 되는 유형 2) → [C37:C42]  (CHOOSE, WEEKDAY 함수 사용)</t>
        </is>
      </c>
    </row>
    <row r="29" ht="32" customHeight="1">
      <c r="B29" s="8" t="inlineStr">
        <is>
          <t>5.</t>
        </is>
      </c>
      <c r="C29" s="9" t="inlineStr">
        <is>
          <t>[표5]에서 불량률[D47:D52]이 낮을수록 1위가 되도록 순위를 구하여 "1위" 형태로 순위[E47:E52]에 표시하시오. → [E47:E52]  (RANK.EQ 함수, &amp; 연산자 사용)</t>
        </is>
      </c>
    </row>
    <row r="30" ht="22" customHeight="1">
      <c r="A30" s="7" t="inlineStr">
        <is>
          <t xml:space="preserve">  분석작업-1  ·  10점</t>
        </is>
      </c>
    </row>
    <row r="31" ht="48" customHeight="1">
      <c r="B31" s="8" t="inlineStr"/>
      <c r="C31" s="9" t="inlineStr">
        <is>
          <t>[분석작업-1] 시트의 표에서 공정별 수리비의 합계를 계산한 뒤, 같은 공정별 작업시간의 평균을 계산하시오.
· 정렬은 '공정' 기준 오름차순  · 합계와 평균은 위에서 아래 순서로 표시 (평균은 새로운 값으로 대치하지 않음)</t>
        </is>
      </c>
    </row>
    <row r="32" ht="22" customHeight="1">
      <c r="A32" s="7" t="inlineStr">
        <is>
          <t xml:space="preserve">  분석작업-2  ·  10점</t>
        </is>
      </c>
    </row>
    <row r="33" ht="18" customHeight="1">
      <c r="B33" s="8" t="inlineStr"/>
      <c r="C33" s="9" t="inlineStr">
        <is>
          <t>[분석작업-2] 시트에서 '목표값 찾기' 로 이익[B7]이 1,000,000 이 되려면 생산량[B4]이 얼마여야 하는지 구하시오.</t>
        </is>
      </c>
    </row>
    <row r="34" ht="22" customHeight="1">
      <c r="A34" s="7" t="inlineStr">
        <is>
          <t xml:space="preserve">  기타작업-1  ·  10점</t>
        </is>
      </c>
    </row>
    <row r="35" ht="18" customHeight="1">
      <c r="B35" s="8" t="inlineStr"/>
      <c r="C35" s="9" t="inlineStr">
        <is>
          <t>[기타작업-1] 시트에서 다음 두 매크로를 만들고 단추에 연결하시오.  (저장은 .xlsm 형식)</t>
        </is>
      </c>
    </row>
    <row r="36" ht="18" customHeight="1">
      <c r="B36" s="8" t="inlineStr">
        <is>
          <t>1)</t>
        </is>
      </c>
      <c r="C36" s="9" t="inlineStr">
        <is>
          <t>[F4:F10] 에 가동률(가동시간÷계획시간)을 구하는 '가동률' 매크로를 만들고, [H3] 위치의 단추(텍스트 '가동률')에 연결</t>
        </is>
      </c>
    </row>
    <row r="37" ht="18" customHeight="1">
      <c r="B37" s="8" t="inlineStr">
        <is>
          <t>2)</t>
        </is>
      </c>
      <c r="C37" s="9" t="inlineStr">
        <is>
          <t>[A3:F3] 영역에 채우기 색 '주황' 을 적용하는 '서식' 매크로를 만들고, [H6] 위치의 단추(텍스트 '서식')에 연결</t>
        </is>
      </c>
    </row>
    <row r="38" ht="22" customHeight="1">
      <c r="A38" s="7" t="inlineStr">
        <is>
          <t xml:space="preserve">  기타작업-2  ·  10점 (각 2점)</t>
        </is>
      </c>
    </row>
    <row r="39" ht="18" customHeight="1">
      <c r="B39" s="8" t="inlineStr"/>
      <c r="C39" s="9" t="inlineStr">
        <is>
          <t>[기타작업-2] 시트의 차트(묶은 세로 막대 · 생산량만)를 다음과 같이 고치시오.</t>
        </is>
      </c>
    </row>
    <row r="40" ht="18" customHeight="1">
      <c r="B40" s="8" t="inlineStr">
        <is>
          <t>1)</t>
        </is>
      </c>
      <c r="C40" s="9" t="inlineStr">
        <is>
          <t>차트에 불량수 계열을 추가하시오</t>
        </is>
      </c>
    </row>
    <row r="41" ht="18" customHeight="1">
      <c r="B41" s="8" t="inlineStr">
        <is>
          <t>2)</t>
        </is>
      </c>
      <c r="C41" s="9" t="inlineStr">
        <is>
          <t>불량수 계열을 '표식이 있는 꺾은선형' 으로 바꾸고 보조 축에 표시하시오</t>
        </is>
      </c>
    </row>
    <row r="42" ht="18" customHeight="1">
      <c r="B42" s="8" t="inlineStr">
        <is>
          <t>3)</t>
        </is>
      </c>
      <c r="C42" s="9" t="inlineStr">
        <is>
          <t>차트 제목을 '하반기 생산 실적' 으로 입력하시오</t>
        </is>
      </c>
    </row>
    <row r="43" ht="18" customHeight="1">
      <c r="B43" s="8" t="inlineStr">
        <is>
          <t>4)</t>
        </is>
      </c>
      <c r="C43" s="9" t="inlineStr">
        <is>
          <t>생산량 계열에 데이터 레이블 '값' 을 표시하시오</t>
        </is>
      </c>
    </row>
    <row r="44" ht="18" customHeight="1">
      <c r="B44" s="8" t="inlineStr">
        <is>
          <t>5)</t>
        </is>
      </c>
      <c r="C44" s="9" t="inlineStr">
        <is>
          <t>범례를 '아래쪽' 에 표시하시오</t>
        </is>
      </c>
    </row>
  </sheetData>
  <mergeCells count="11">
    <mergeCell ref="A1:C1"/>
    <mergeCell ref="A16:C16"/>
    <mergeCell ref="A32:C32"/>
    <mergeCell ref="A14:C14"/>
    <mergeCell ref="A22:C22"/>
    <mergeCell ref="A38:C38"/>
    <mergeCell ref="A30:C30"/>
    <mergeCell ref="A34:C34"/>
    <mergeCell ref="A4:C4"/>
    <mergeCell ref="A24:C24"/>
    <mergeCell ref="A2:C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6" customHeight="1">
      <c r="A1" s="12" t="inlineStr">
        <is>
          <t>설비 점검 대장</t>
        </is>
      </c>
    </row>
    <row r="3">
      <c r="A3" s="13" t="inlineStr">
        <is>
          <t>설비코드</t>
        </is>
      </c>
      <c r="B3" s="13" t="inlineStr">
        <is>
          <t>설비명</t>
        </is>
      </c>
      <c r="C3" s="13" t="inlineStr">
        <is>
          <t>설치일</t>
        </is>
      </c>
      <c r="D3" s="13" t="inlineStr">
        <is>
          <t>점검주기(일)</t>
        </is>
      </c>
      <c r="E3" s="13" t="inlineStr">
        <is>
          <t>담당자</t>
        </is>
      </c>
      <c r="F3" s="13" t="inlineStr">
        <is>
          <t>비고</t>
        </is>
      </c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4" t="n"/>
      <c r="B10" s="14" t="n"/>
      <c r="C10" s="14" t="n"/>
      <c r="D10" s="14" t="n"/>
      <c r="E10" s="14" t="n"/>
      <c r="F10" s="14" t="n"/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>
      <c r="A1" t="inlineStr">
        <is>
          <t>부품 재고 현황</t>
        </is>
      </c>
    </row>
    <row r="3">
      <c r="A3" s="15" t="inlineStr">
        <is>
          <t>부품코드</t>
        </is>
      </c>
      <c r="B3" s="15" t="inlineStr">
        <is>
          <t>부품명</t>
        </is>
      </c>
      <c r="C3" s="15" t="inlineStr">
        <is>
          <t>분류</t>
        </is>
      </c>
      <c r="D3" s="15" t="inlineStr">
        <is>
          <t>단가</t>
        </is>
      </c>
      <c r="E3" s="15" t="inlineStr">
        <is>
          <t>재고</t>
        </is>
      </c>
      <c r="F3" s="15" t="inlineStr">
        <is>
          <t>안전재고</t>
        </is>
      </c>
      <c r="G3" s="15" t="inlineStr">
        <is>
          <t>재고금액</t>
        </is>
      </c>
    </row>
    <row r="4">
      <c r="A4" t="inlineStr">
        <is>
          <t>B-101</t>
        </is>
      </c>
      <c r="B4" t="inlineStr">
        <is>
          <t>볼베어링 6205</t>
        </is>
      </c>
      <c r="C4" t="inlineStr">
        <is>
          <t>베어링</t>
        </is>
      </c>
      <c r="D4" t="n">
        <v>4200</v>
      </c>
      <c r="E4" t="n">
        <v>120</v>
      </c>
      <c r="F4" t="n">
        <v>50</v>
      </c>
      <c r="G4">
        <f>D4*E4</f>
        <v/>
      </c>
    </row>
    <row r="5">
      <c r="A5" t="inlineStr">
        <is>
          <t>B-102</t>
        </is>
      </c>
      <c r="B5" t="inlineStr">
        <is>
          <t>볼베어링 6305</t>
        </is>
      </c>
      <c r="C5" t="inlineStr">
        <is>
          <t>베어링</t>
        </is>
      </c>
      <c r="D5" t="n">
        <v>5600</v>
      </c>
      <c r="E5" t="n">
        <v>35</v>
      </c>
      <c r="F5" t="n">
        <v>40</v>
      </c>
      <c r="G5">
        <f>D5*E5</f>
        <v/>
      </c>
    </row>
    <row r="6">
      <c r="A6" t="inlineStr">
        <is>
          <t>S-201</t>
        </is>
      </c>
      <c r="B6" t="inlineStr">
        <is>
          <t>오일실 35x52</t>
        </is>
      </c>
      <c r="C6" t="inlineStr">
        <is>
          <t>실링</t>
        </is>
      </c>
      <c r="D6" t="n">
        <v>1800</v>
      </c>
      <c r="E6" t="n">
        <v>210</v>
      </c>
      <c r="F6" t="n">
        <v>100</v>
      </c>
      <c r="G6">
        <f>D6*E6</f>
        <v/>
      </c>
    </row>
    <row r="7">
      <c r="A7" t="inlineStr">
        <is>
          <t>V-301</t>
        </is>
      </c>
      <c r="B7" t="inlineStr">
        <is>
          <t>V벨트 A-42</t>
        </is>
      </c>
      <c r="C7" t="inlineStr">
        <is>
          <t>벨트</t>
        </is>
      </c>
      <c r="D7" t="n">
        <v>9500</v>
      </c>
      <c r="E7" t="n">
        <v>18</v>
      </c>
      <c r="F7" t="n">
        <v>20</v>
      </c>
      <c r="G7">
        <f>D7*E7</f>
        <v/>
      </c>
    </row>
    <row r="8">
      <c r="A8" t="inlineStr">
        <is>
          <t>B-103</t>
        </is>
      </c>
      <c r="B8" t="inlineStr">
        <is>
          <t>니들베어링 HK20</t>
        </is>
      </c>
      <c r="C8" t="inlineStr">
        <is>
          <t>베어링</t>
        </is>
      </c>
      <c r="D8" t="n">
        <v>3100</v>
      </c>
      <c r="E8" t="n">
        <v>48</v>
      </c>
      <c r="F8" t="n">
        <v>30</v>
      </c>
      <c r="G8">
        <f>D8*E8</f>
        <v/>
      </c>
    </row>
    <row r="9">
      <c r="A9" t="inlineStr">
        <is>
          <t>S-202</t>
        </is>
      </c>
      <c r="B9" t="inlineStr">
        <is>
          <t>O링 P-40</t>
        </is>
      </c>
      <c r="C9" t="inlineStr">
        <is>
          <t>실링</t>
        </is>
      </c>
      <c r="D9" t="n">
        <v>350</v>
      </c>
      <c r="E9" t="n">
        <v>900</v>
      </c>
      <c r="F9" t="n">
        <v>300</v>
      </c>
      <c r="G9">
        <f>D9*E9</f>
        <v/>
      </c>
    </row>
    <row r="10">
      <c r="A10" t="inlineStr">
        <is>
          <t>V-302</t>
        </is>
      </c>
      <c r="B10" t="inlineStr">
        <is>
          <t>타이밍벨트 450L</t>
        </is>
      </c>
      <c r="C10" t="inlineStr">
        <is>
          <t>벨트</t>
        </is>
      </c>
      <c r="D10" t="n">
        <v>21000</v>
      </c>
      <c r="E10" t="n">
        <v>12</v>
      </c>
      <c r="F10" t="n">
        <v>10</v>
      </c>
      <c r="G10">
        <f>D10*E10</f>
        <v/>
      </c>
    </row>
    <row r="11">
      <c r="A11" t="inlineStr">
        <is>
          <t>B-104</t>
        </is>
      </c>
      <c r="B11" t="inlineStr">
        <is>
          <t>테이퍼베어링 30205</t>
        </is>
      </c>
      <c r="C11" t="inlineStr">
        <is>
          <t>베어링</t>
        </is>
      </c>
      <c r="D11" t="n">
        <v>8800</v>
      </c>
      <c r="E11" t="n">
        <v>26</v>
      </c>
      <c r="F11" t="n">
        <v>20</v>
      </c>
      <c r="G11">
        <f>D11*E11</f>
        <v/>
      </c>
    </row>
    <row r="12">
      <c r="A12" t="inlineStr">
        <is>
          <t>F-401</t>
        </is>
      </c>
      <c r="B12" t="inlineStr">
        <is>
          <t>필터 카트리지</t>
        </is>
      </c>
      <c r="C12" t="inlineStr">
        <is>
          <t>필터</t>
        </is>
      </c>
      <c r="D12" t="n">
        <v>15000</v>
      </c>
      <c r="E12" t="n">
        <v>40</v>
      </c>
      <c r="F12" t="n">
        <v>15</v>
      </c>
      <c r="G12">
        <f>D12*E12</f>
        <v/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12" customWidth="1" min="4" max="4"/>
    <col width="10" customWidth="1" min="5" max="5"/>
    <col width="10" customWidth="1" min="6" max="6"/>
    <col width="13" customWidth="1" min="7" max="7"/>
  </cols>
  <sheetData>
    <row r="1" ht="26" customHeight="1">
      <c r="A1" s="12" t="inlineStr">
        <is>
          <t>고급 필터</t>
        </is>
      </c>
    </row>
    <row r="3">
      <c r="A3" s="13" t="inlineStr">
        <is>
          <t>부품코드</t>
        </is>
      </c>
      <c r="B3" s="13" t="inlineStr">
        <is>
          <t>부품명</t>
        </is>
      </c>
      <c r="C3" s="13" t="inlineStr">
        <is>
          <t>분류</t>
        </is>
      </c>
      <c r="D3" s="13" t="inlineStr">
        <is>
          <t>단가</t>
        </is>
      </c>
      <c r="E3" s="13" t="inlineStr">
        <is>
          <t>재고</t>
        </is>
      </c>
      <c r="F3" s="13" t="inlineStr">
        <is>
          <t>안전재고</t>
        </is>
      </c>
      <c r="G3" s="13" t="inlineStr">
        <is>
          <t>재고금액</t>
        </is>
      </c>
    </row>
    <row r="4">
      <c r="A4" s="16" t="inlineStr">
        <is>
          <t>B-101</t>
        </is>
      </c>
      <c r="B4" s="16" t="inlineStr">
        <is>
          <t>볼베어링 6205</t>
        </is>
      </c>
      <c r="C4" s="16" t="inlineStr">
        <is>
          <t>베어링</t>
        </is>
      </c>
      <c r="D4" s="16" t="n">
        <v>4200</v>
      </c>
      <c r="E4" s="16" t="n">
        <v>120</v>
      </c>
      <c r="F4" s="17" t="n">
        <v>50</v>
      </c>
      <c r="G4" s="17" t="n">
        <v>504000</v>
      </c>
    </row>
    <row r="5">
      <c r="A5" s="16" t="inlineStr">
        <is>
          <t>B-102</t>
        </is>
      </c>
      <c r="B5" s="16" t="inlineStr">
        <is>
          <t>볼베어링 6305</t>
        </is>
      </c>
      <c r="C5" s="16" t="inlineStr">
        <is>
          <t>베어링</t>
        </is>
      </c>
      <c r="D5" s="16" t="n">
        <v>5600</v>
      </c>
      <c r="E5" s="16" t="n">
        <v>35</v>
      </c>
      <c r="F5" s="17" t="n">
        <v>40</v>
      </c>
      <c r="G5" s="17" t="n">
        <v>196000</v>
      </c>
    </row>
    <row r="6">
      <c r="A6" s="16" t="inlineStr">
        <is>
          <t>S-201</t>
        </is>
      </c>
      <c r="B6" s="16" t="inlineStr">
        <is>
          <t>오일실 35x52</t>
        </is>
      </c>
      <c r="C6" s="16" t="inlineStr">
        <is>
          <t>실링</t>
        </is>
      </c>
      <c r="D6" s="16" t="n">
        <v>1800</v>
      </c>
      <c r="E6" s="16" t="n">
        <v>210</v>
      </c>
      <c r="F6" s="17" t="n">
        <v>100</v>
      </c>
      <c r="G6" s="17" t="n">
        <v>378000</v>
      </c>
    </row>
    <row r="7">
      <c r="A7" s="16" t="inlineStr">
        <is>
          <t>V-301</t>
        </is>
      </c>
      <c r="B7" s="16" t="inlineStr">
        <is>
          <t>V벨트 A-42</t>
        </is>
      </c>
      <c r="C7" s="16" t="inlineStr">
        <is>
          <t>벨트</t>
        </is>
      </c>
      <c r="D7" s="16" t="n">
        <v>9500</v>
      </c>
      <c r="E7" s="16" t="n">
        <v>18</v>
      </c>
      <c r="F7" s="17" t="n">
        <v>20</v>
      </c>
      <c r="G7" s="17" t="n">
        <v>171000</v>
      </c>
    </row>
    <row r="8">
      <c r="A8" s="16" t="inlineStr">
        <is>
          <t>B-103</t>
        </is>
      </c>
      <c r="B8" s="16" t="inlineStr">
        <is>
          <t>니들베어링 HK20</t>
        </is>
      </c>
      <c r="C8" s="16" t="inlineStr">
        <is>
          <t>베어링</t>
        </is>
      </c>
      <c r="D8" s="16" t="n">
        <v>3100</v>
      </c>
      <c r="E8" s="16" t="n">
        <v>48</v>
      </c>
      <c r="F8" s="17" t="n">
        <v>30</v>
      </c>
      <c r="G8" s="17" t="n">
        <v>148800</v>
      </c>
    </row>
    <row r="9">
      <c r="A9" s="16" t="inlineStr">
        <is>
          <t>S-202</t>
        </is>
      </c>
      <c r="B9" s="16" t="inlineStr">
        <is>
          <t>O링 P-40</t>
        </is>
      </c>
      <c r="C9" s="16" t="inlineStr">
        <is>
          <t>실링</t>
        </is>
      </c>
      <c r="D9" s="16" t="n">
        <v>350</v>
      </c>
      <c r="E9" s="16" t="n">
        <v>900</v>
      </c>
      <c r="F9" s="17" t="n">
        <v>300</v>
      </c>
      <c r="G9" s="17" t="n">
        <v>315000</v>
      </c>
    </row>
    <row r="10">
      <c r="A10" s="16" t="inlineStr">
        <is>
          <t>V-302</t>
        </is>
      </c>
      <c r="B10" s="16" t="inlineStr">
        <is>
          <t>타이밍벨트 450L</t>
        </is>
      </c>
      <c r="C10" s="16" t="inlineStr">
        <is>
          <t>벨트</t>
        </is>
      </c>
      <c r="D10" s="16" t="n">
        <v>21000</v>
      </c>
      <c r="E10" s="16" t="n">
        <v>12</v>
      </c>
      <c r="F10" s="17" t="n">
        <v>10</v>
      </c>
      <c r="G10" s="17" t="n">
        <v>252000</v>
      </c>
    </row>
    <row r="11">
      <c r="A11" s="16" t="inlineStr">
        <is>
          <t>B-104</t>
        </is>
      </c>
      <c r="B11" s="16" t="inlineStr">
        <is>
          <t>테이퍼베어링 30205</t>
        </is>
      </c>
      <c r="C11" s="16" t="inlineStr">
        <is>
          <t>베어링</t>
        </is>
      </c>
      <c r="D11" s="16" t="n">
        <v>8800</v>
      </c>
      <c r="E11" s="16" t="n">
        <v>26</v>
      </c>
      <c r="F11" s="17" t="n">
        <v>20</v>
      </c>
      <c r="G11" s="17" t="n">
        <v>228800</v>
      </c>
    </row>
    <row r="12">
      <c r="A12" s="16" t="inlineStr">
        <is>
          <t>F-401</t>
        </is>
      </c>
      <c r="B12" s="16" t="inlineStr">
        <is>
          <t>필터 카트리지</t>
        </is>
      </c>
      <c r="C12" s="16" t="inlineStr">
        <is>
          <t>필터</t>
        </is>
      </c>
      <c r="D12" s="16" t="n">
        <v>15000</v>
      </c>
      <c r="E12" s="16" t="n">
        <v>40</v>
      </c>
      <c r="F12" s="17" t="n">
        <v>15</v>
      </c>
      <c r="G12" s="17" t="n">
        <v>600000</v>
      </c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hidden="1" width="13" customWidth="1" min="27" max="27"/>
    <col hidden="1" width="13" customWidth="1" min="28" max="28"/>
  </cols>
  <sheetData>
    <row r="1">
      <c r="A1" s="18" t="inlineStr">
        <is>
          <t>[표1] 설비 가동 현황</t>
        </is>
      </c>
    </row>
    <row r="2">
      <c r="A2" s="13" t="inlineStr">
        <is>
          <t>설비코드</t>
        </is>
      </c>
      <c r="B2" s="13" t="inlineStr">
        <is>
          <t>설비명</t>
        </is>
      </c>
      <c r="C2" s="13" t="inlineStr">
        <is>
          <t>가동시간</t>
        </is>
      </c>
      <c r="D2" s="13" t="inlineStr">
        <is>
          <t>계획시간</t>
        </is>
      </c>
      <c r="E2" s="13" t="inlineStr">
        <is>
          <t>가동률</t>
        </is>
      </c>
      <c r="F2" s="13" t="inlineStr">
        <is>
          <t>판정</t>
        </is>
      </c>
    </row>
    <row r="3">
      <c r="A3" s="16" t="inlineStr">
        <is>
          <t>PR-01</t>
        </is>
      </c>
      <c r="B3" s="16" t="inlineStr">
        <is>
          <t>유압프레스</t>
        </is>
      </c>
      <c r="C3" s="16" t="n">
        <v>186</v>
      </c>
      <c r="D3" s="16" t="n">
        <v>200</v>
      </c>
      <c r="E3" s="19" t="n">
        <v>0.93</v>
      </c>
      <c r="F3" s="20" t="n">
        <v>0</v>
      </c>
      <c r="AA3">
        <f>IF(E3&gt;=90%,"우수",IF(E3&gt;=80%,"보통","점검"))</f>
        <v/>
      </c>
      <c r="AB3">
        <f>AND(_xlfn.ISFORMULA(F3),IFERROR(ROUND(F3,4)=ROUND(AA3,4),EXACT(F3,AA3)))</f>
        <v/>
      </c>
    </row>
    <row r="4">
      <c r="A4" s="16" t="inlineStr">
        <is>
          <t>PR-02</t>
        </is>
      </c>
      <c r="B4" s="16" t="inlineStr">
        <is>
          <t>단동프레스</t>
        </is>
      </c>
      <c r="C4" s="16" t="n">
        <v>180</v>
      </c>
      <c r="D4" s="16" t="n">
        <v>200</v>
      </c>
      <c r="E4" s="19" t="n">
        <v>0.9</v>
      </c>
      <c r="F4" s="20" t="n">
        <v>0</v>
      </c>
      <c r="AA4">
        <f>IF(E4&gt;=90%,"우수",IF(E4&gt;=80%,"보통","점검"))</f>
        <v/>
      </c>
      <c r="AB4">
        <f>AND(_xlfn.ISFORMULA(F4),IFERROR(ROUND(F4,4)=ROUND(AA4,4),EXACT(F4,AA4)))</f>
        <v/>
      </c>
    </row>
    <row r="5">
      <c r="A5" s="16" t="inlineStr">
        <is>
          <t>WD-01</t>
        </is>
      </c>
      <c r="B5" s="16" t="inlineStr">
        <is>
          <t>스폿용접기</t>
        </is>
      </c>
      <c r="C5" s="16" t="n">
        <v>170</v>
      </c>
      <c r="D5" s="16" t="n">
        <v>200</v>
      </c>
      <c r="E5" s="19" t="n">
        <v>0.85</v>
      </c>
      <c r="F5" s="20" t="n">
        <v>0</v>
      </c>
      <c r="AA5">
        <f>IF(E5&gt;=90%,"우수",IF(E5&gt;=80%,"보통","점검"))</f>
        <v/>
      </c>
      <c r="AB5">
        <f>AND(_xlfn.ISFORMULA(F5),IFERROR(ROUND(F5,4)=ROUND(AA5,4),EXACT(F5,AA5)))</f>
        <v/>
      </c>
    </row>
    <row r="6">
      <c r="A6" s="16" t="inlineStr">
        <is>
          <t>WD-02</t>
        </is>
      </c>
      <c r="B6" s="16" t="inlineStr">
        <is>
          <t>아크용접기</t>
        </is>
      </c>
      <c r="C6" s="16" t="n">
        <v>158</v>
      </c>
      <c r="D6" s="16" t="n">
        <v>200</v>
      </c>
      <c r="E6" s="19" t="n">
        <v>0.79</v>
      </c>
      <c r="F6" s="20" t="n">
        <v>0</v>
      </c>
      <c r="AA6">
        <f>IF(E6&gt;=90%,"우수",IF(E6&gt;=80%,"보통","점검"))</f>
        <v/>
      </c>
      <c r="AB6">
        <f>AND(_xlfn.ISFORMULA(F6),IFERROR(ROUND(F6,4)=ROUND(AA6,4),EXACT(F6,AA6)))</f>
        <v/>
      </c>
    </row>
    <row r="7">
      <c r="A7" s="16" t="inlineStr">
        <is>
          <t>CN-01</t>
        </is>
      </c>
      <c r="B7" s="16" t="inlineStr">
        <is>
          <t>CNC선반</t>
        </is>
      </c>
      <c r="C7" s="16" t="n">
        <v>160</v>
      </c>
      <c r="D7" s="16" t="n">
        <v>200</v>
      </c>
      <c r="E7" s="19" t="n">
        <v>0.8</v>
      </c>
      <c r="F7" s="20" t="n">
        <v>0</v>
      </c>
      <c r="AA7">
        <f>IF(E7&gt;=90%,"우수",IF(E7&gt;=80%,"보통","점검"))</f>
        <v/>
      </c>
      <c r="AB7">
        <f>AND(_xlfn.ISFORMULA(F7),IFERROR(ROUND(F7,4)=ROUND(AA7,4),EXACT(F7,AA7)))</f>
        <v/>
      </c>
    </row>
    <row r="8">
      <c r="A8" s="16" t="inlineStr">
        <is>
          <t>CN-02</t>
        </is>
      </c>
      <c r="B8" s="16" t="inlineStr">
        <is>
          <t>머시닝센터</t>
        </is>
      </c>
      <c r="C8" s="16" t="n">
        <v>194</v>
      </c>
      <c r="D8" s="16" t="n">
        <v>200</v>
      </c>
      <c r="E8" s="19" t="n">
        <v>0.97</v>
      </c>
      <c r="F8" s="20" t="n">
        <v>0</v>
      </c>
      <c r="AA8">
        <f>IF(E8&gt;=90%,"우수",IF(E8&gt;=80%,"보통","점검"))</f>
        <v/>
      </c>
      <c r="AB8">
        <f>AND(_xlfn.ISFORMULA(F8),IFERROR(ROUND(F8,4)=ROUND(AA8,4),EXACT(F8,AA8)))</f>
        <v/>
      </c>
    </row>
    <row r="9">
      <c r="A9" s="16" t="inlineStr">
        <is>
          <t>RB-01</t>
        </is>
      </c>
      <c r="B9" s="16" t="inlineStr">
        <is>
          <t>조립로봇</t>
        </is>
      </c>
      <c r="C9" s="16" t="n">
        <v>176</v>
      </c>
      <c r="D9" s="16" t="n">
        <v>200</v>
      </c>
      <c r="E9" s="19" t="n">
        <v>0.88</v>
      </c>
      <c r="F9" s="20" t="n">
        <v>0</v>
      </c>
      <c r="AA9">
        <f>IF(E9&gt;=90%,"우수",IF(E9&gt;=80%,"보통","점검"))</f>
        <v/>
      </c>
      <c r="AB9">
        <f>AND(_xlfn.ISFORMULA(F9),IFERROR(ROUND(F9,4)=ROUND(AA9,4),EXACT(F9,AA9)))</f>
        <v/>
      </c>
    </row>
    <row r="10">
      <c r="A10" s="16" t="inlineStr">
        <is>
          <t>CV-01</t>
        </is>
      </c>
      <c r="B10" s="16" t="inlineStr">
        <is>
          <t>컨베이어</t>
        </is>
      </c>
      <c r="C10" s="16" t="n">
        <v>124</v>
      </c>
      <c r="D10" s="16" t="n">
        <v>200</v>
      </c>
      <c r="E10" s="19" t="n">
        <v>0.62</v>
      </c>
      <c r="F10" s="20" t="n">
        <v>0</v>
      </c>
      <c r="AA10">
        <f>IF(E10&gt;=90%,"우수",IF(E10&gt;=80%,"보통","점검"))</f>
        <v/>
      </c>
      <c r="AB10">
        <f>AND(_xlfn.ISFORMULA(F10),IFERROR(ROUND(F10,4)=ROUND(AA10,4),EXACT(F10,AA10)))</f>
        <v/>
      </c>
    </row>
    <row r="13">
      <c r="A13" s="18" t="inlineStr">
        <is>
          <t>[표2] 부서별 수리비</t>
        </is>
      </c>
    </row>
    <row r="14">
      <c r="A14" s="13" t="inlineStr">
        <is>
          <t>부서</t>
        </is>
      </c>
      <c r="B14" s="13" t="inlineStr">
        <is>
          <t>설비</t>
        </is>
      </c>
      <c r="C14" s="13" t="inlineStr">
        <is>
          <t>수리비</t>
        </is>
      </c>
      <c r="D14" s="13" t="inlineStr"/>
      <c r="E14" s="13" t="inlineStr">
        <is>
          <t>부서</t>
        </is>
      </c>
      <c r="F14" s="13" t="inlineStr">
        <is>
          <t>수리비 합계</t>
        </is>
      </c>
    </row>
    <row r="15">
      <c r="A15" s="16" t="inlineStr">
        <is>
          <t>생산2팀</t>
        </is>
      </c>
      <c r="B15" s="16" t="inlineStr">
        <is>
          <t>용접기</t>
        </is>
      </c>
      <c r="C15" s="17" t="n">
        <v>85000</v>
      </c>
      <c r="D15" s="21" t="n"/>
      <c r="E15" s="16" t="inlineStr">
        <is>
          <t>생산1팀</t>
        </is>
      </c>
      <c r="F15" s="22" t="n">
        <v>0</v>
      </c>
      <c r="AA15">
        <f>SUMIF($A$15:$A$22,E15,$C$15:$C$22)</f>
        <v/>
      </c>
      <c r="AB15">
        <f>AND(_xlfn.ISFORMULA(F15),IFERROR(ROUND(F15,4)=ROUND(AA15,4),EXACT(F15,AA15)))</f>
        <v/>
      </c>
    </row>
    <row r="16">
      <c r="A16" s="16" t="inlineStr">
        <is>
          <t>보전팀</t>
        </is>
      </c>
      <c r="B16" s="16" t="inlineStr">
        <is>
          <t>로봇</t>
        </is>
      </c>
      <c r="C16" s="17" t="n">
        <v>60000</v>
      </c>
      <c r="D16" s="21" t="n"/>
      <c r="E16" s="16" t="inlineStr">
        <is>
          <t>생산2팀</t>
        </is>
      </c>
      <c r="F16" s="22" t="n">
        <v>0</v>
      </c>
      <c r="AA16">
        <f>SUMIF($A$15:$A$22,E16,$C$15:$C$22)</f>
        <v/>
      </c>
      <c r="AB16">
        <f>AND(_xlfn.ISFORMULA(F16),IFERROR(ROUND(F16,4)=ROUND(AA16,4),EXACT(F16,AA16)))</f>
        <v/>
      </c>
    </row>
    <row r="17">
      <c r="A17" s="16" t="inlineStr">
        <is>
          <t>생산1팀</t>
        </is>
      </c>
      <c r="B17" s="16" t="inlineStr">
        <is>
          <t>프레스</t>
        </is>
      </c>
      <c r="C17" s="17" t="n">
        <v>120000</v>
      </c>
      <c r="D17" s="21" t="n"/>
      <c r="E17" s="16" t="inlineStr">
        <is>
          <t>보전팀</t>
        </is>
      </c>
      <c r="F17" s="22" t="n">
        <v>0</v>
      </c>
      <c r="AA17">
        <f>SUMIF($A$15:$A$22,E17,$C$15:$C$22)</f>
        <v/>
      </c>
      <c r="AB17">
        <f>AND(_xlfn.ISFORMULA(F17),IFERROR(ROUND(F17,4)=ROUND(AA17,4),EXACT(F17,AA17)))</f>
        <v/>
      </c>
    </row>
    <row r="18">
      <c r="A18" s="16" t="inlineStr">
        <is>
          <t>생산1팀</t>
        </is>
      </c>
      <c r="B18" s="16" t="inlineStr">
        <is>
          <t>CNC</t>
        </is>
      </c>
      <c r="C18" s="17" t="n">
        <v>240000</v>
      </c>
      <c r="D18" s="21" t="n"/>
      <c r="E18" s="21" t="n"/>
      <c r="F18" s="21" t="n"/>
    </row>
    <row r="19">
      <c r="A19" s="16" t="inlineStr">
        <is>
          <t>생산2팀</t>
        </is>
      </c>
      <c r="B19" s="16" t="inlineStr">
        <is>
          <t>컨베이어</t>
        </is>
      </c>
      <c r="C19" s="17" t="n">
        <v>45000</v>
      </c>
      <c r="D19" s="21" t="n"/>
      <c r="E19" s="21" t="n"/>
      <c r="F19" s="21" t="n"/>
    </row>
    <row r="20">
      <c r="A20" s="16" t="inlineStr">
        <is>
          <t>보전팀</t>
        </is>
      </c>
      <c r="B20" s="16" t="inlineStr">
        <is>
          <t>공조기</t>
        </is>
      </c>
      <c r="C20" s="17" t="n">
        <v>150000</v>
      </c>
      <c r="D20" s="21" t="n"/>
      <c r="E20" s="21" t="n"/>
      <c r="F20" s="21" t="n"/>
    </row>
    <row r="21">
      <c r="A21" s="16" t="inlineStr">
        <is>
          <t>생산1팀</t>
        </is>
      </c>
      <c r="B21" s="16" t="inlineStr">
        <is>
          <t>용접기</t>
        </is>
      </c>
      <c r="C21" s="17" t="n">
        <v>30000</v>
      </c>
      <c r="D21" s="21" t="n"/>
      <c r="E21" s="21" t="n"/>
      <c r="F21" s="21" t="n"/>
    </row>
    <row r="22">
      <c r="A22" s="16" t="inlineStr">
        <is>
          <t>생산2팀</t>
        </is>
      </c>
      <c r="B22" s="16" t="inlineStr">
        <is>
          <t>프레스</t>
        </is>
      </c>
      <c r="C22" s="17" t="n">
        <v>90000</v>
      </c>
      <c r="D22" s="21" t="n"/>
      <c r="E22" s="21" t="n"/>
      <c r="F22" s="21" t="n"/>
    </row>
    <row r="25">
      <c r="A25" s="18" t="inlineStr">
        <is>
          <t>[표3] 설비 공정 구분</t>
        </is>
      </c>
    </row>
    <row r="26">
      <c r="A26" s="13" t="inlineStr">
        <is>
          <t>설비코드</t>
        </is>
      </c>
      <c r="B26" s="13" t="inlineStr">
        <is>
          <t>설비명</t>
        </is>
      </c>
      <c r="C26" s="13" t="inlineStr">
        <is>
          <t>공정</t>
        </is>
      </c>
      <c r="D26" s="13" t="inlineStr"/>
      <c r="E26" s="13" t="inlineStr">
        <is>
          <t>코드</t>
        </is>
      </c>
      <c r="F26" s="13" t="inlineStr">
        <is>
          <t>공정명</t>
        </is>
      </c>
    </row>
    <row r="27">
      <c r="A27" s="16" t="inlineStr">
        <is>
          <t>PR-11</t>
        </is>
      </c>
      <c r="B27" s="16" t="inlineStr">
        <is>
          <t>프레스3</t>
        </is>
      </c>
      <c r="C27" s="20" t="n">
        <v>0</v>
      </c>
      <c r="D27" s="21" t="n"/>
      <c r="E27" s="16" t="inlineStr">
        <is>
          <t>PR</t>
        </is>
      </c>
      <c r="F27" s="16" t="inlineStr">
        <is>
          <t>프레스공정</t>
        </is>
      </c>
      <c r="AA27">
        <f>VLOOKUP(LEFT(A27,2),$E$27:$F$30,2,FALSE)</f>
        <v/>
      </c>
      <c r="AB27">
        <f>AND(_xlfn.ISFORMULA(C27),IFERROR(ROUND(C27,4)=ROUND(AA27,4),EXACT(C27,AA27)))</f>
        <v/>
      </c>
    </row>
    <row r="28">
      <c r="A28" s="16" t="inlineStr">
        <is>
          <t>WD-07</t>
        </is>
      </c>
      <c r="B28" s="16" t="inlineStr">
        <is>
          <t>용접기7</t>
        </is>
      </c>
      <c r="C28" s="20" t="n">
        <v>0</v>
      </c>
      <c r="D28" s="21" t="n"/>
      <c r="E28" s="16" t="inlineStr">
        <is>
          <t>WD</t>
        </is>
      </c>
      <c r="F28" s="16" t="inlineStr">
        <is>
          <t>용접공정</t>
        </is>
      </c>
      <c r="AA28">
        <f>VLOOKUP(LEFT(A28,2),$E$27:$F$30,2,FALSE)</f>
        <v/>
      </c>
      <c r="AB28">
        <f>AND(_xlfn.ISFORMULA(C28),IFERROR(ROUND(C28,4)=ROUND(AA28,4),EXACT(C28,AA28)))</f>
        <v/>
      </c>
    </row>
    <row r="29">
      <c r="A29" s="16" t="inlineStr">
        <is>
          <t>CN-03</t>
        </is>
      </c>
      <c r="B29" s="16" t="inlineStr">
        <is>
          <t>CNC3</t>
        </is>
      </c>
      <c r="C29" s="20" t="n">
        <v>0</v>
      </c>
      <c r="D29" s="21" t="n"/>
      <c r="E29" s="16" t="inlineStr">
        <is>
          <t>CN</t>
        </is>
      </c>
      <c r="F29" s="16" t="inlineStr">
        <is>
          <t>가공공정</t>
        </is>
      </c>
      <c r="AA29">
        <f>VLOOKUP(LEFT(A29,2),$E$27:$F$30,2,FALSE)</f>
        <v/>
      </c>
      <c r="AB29">
        <f>AND(_xlfn.ISFORMULA(C29),IFERROR(ROUND(C29,4)=ROUND(AA29,4),EXACT(C29,AA29)))</f>
        <v/>
      </c>
    </row>
    <row r="30">
      <c r="A30" s="16" t="inlineStr">
        <is>
          <t>RB-02</t>
        </is>
      </c>
      <c r="B30" s="16" t="inlineStr">
        <is>
          <t>로봇2</t>
        </is>
      </c>
      <c r="C30" s="20" t="n">
        <v>0</v>
      </c>
      <c r="D30" s="21" t="n"/>
      <c r="E30" s="16" t="inlineStr">
        <is>
          <t>RB</t>
        </is>
      </c>
      <c r="F30" s="16" t="inlineStr">
        <is>
          <t>조립공정</t>
        </is>
      </c>
      <c r="AA30">
        <f>VLOOKUP(LEFT(A30,2),$E$27:$F$30,2,FALSE)</f>
        <v/>
      </c>
      <c r="AB30">
        <f>AND(_xlfn.ISFORMULA(C30),IFERROR(ROUND(C30,4)=ROUND(AA30,4),EXACT(C30,AA30)))</f>
        <v/>
      </c>
    </row>
    <row r="31">
      <c r="A31" s="16" t="inlineStr">
        <is>
          <t>PR-05</t>
        </is>
      </c>
      <c r="B31" s="16" t="inlineStr">
        <is>
          <t>프레스5</t>
        </is>
      </c>
      <c r="C31" s="20" t="n">
        <v>0</v>
      </c>
      <c r="D31" s="21" t="n"/>
      <c r="E31" s="21" t="n"/>
      <c r="F31" s="21" t="n"/>
      <c r="AA31">
        <f>VLOOKUP(LEFT(A31,2),$E$27:$F$30,2,FALSE)</f>
        <v/>
      </c>
      <c r="AB31">
        <f>AND(_xlfn.ISFORMULA(C31),IFERROR(ROUND(C31,4)=ROUND(AA31,4),EXACT(C31,AA31)))</f>
        <v/>
      </c>
    </row>
    <row r="32">
      <c r="A32" s="16" t="inlineStr">
        <is>
          <t>CN-09</t>
        </is>
      </c>
      <c r="B32" s="16" t="inlineStr">
        <is>
          <t>CNC9</t>
        </is>
      </c>
      <c r="C32" s="20" t="n">
        <v>0</v>
      </c>
      <c r="D32" s="21" t="n"/>
      <c r="E32" s="21" t="n"/>
      <c r="F32" s="21" t="n"/>
      <c r="AA32">
        <f>VLOOKUP(LEFT(A32,2),$E$27:$F$30,2,FALSE)</f>
        <v/>
      </c>
      <c r="AB32">
        <f>AND(_xlfn.ISFORMULA(C32),IFERROR(ROUND(C32,4)=ROUND(AA32,4),EXACT(C32,AA32)))</f>
        <v/>
      </c>
    </row>
    <row r="35">
      <c r="A35" s="18" t="inlineStr">
        <is>
          <t>[표4] 점검 일정</t>
        </is>
      </c>
    </row>
    <row r="36">
      <c r="A36" s="13" t="inlineStr">
        <is>
          <t>설비명</t>
        </is>
      </c>
      <c r="B36" s="13" t="inlineStr">
        <is>
          <t>점검일</t>
        </is>
      </c>
      <c r="C36" s="13" t="inlineStr">
        <is>
          <t>요일</t>
        </is>
      </c>
    </row>
    <row r="37">
      <c r="A37" s="16" t="inlineStr">
        <is>
          <t>프레스1</t>
        </is>
      </c>
      <c r="B37" s="23" t="n">
        <v>46300</v>
      </c>
      <c r="C37" s="20" t="n">
        <v>0</v>
      </c>
      <c r="AA37">
        <f>CHOOSE(WEEKDAY(B37,2),"월","화","수","목","금","토","일")</f>
        <v/>
      </c>
      <c r="AB37">
        <f>AND(_xlfn.ISFORMULA(C37),IFERROR(ROUND(C37,4)=ROUND(AA37,4),EXACT(C37,AA37)))</f>
        <v/>
      </c>
    </row>
    <row r="38">
      <c r="A38" s="16" t="inlineStr">
        <is>
          <t>용접기2</t>
        </is>
      </c>
      <c r="B38" s="23" t="n">
        <v>46305</v>
      </c>
      <c r="C38" s="20" t="n">
        <v>0</v>
      </c>
      <c r="AA38">
        <f>CHOOSE(WEEKDAY(B38,2),"월","화","수","목","금","토","일")</f>
        <v/>
      </c>
      <c r="AB38">
        <f>AND(_xlfn.ISFORMULA(C38),IFERROR(ROUND(C38,4)=ROUND(AA38,4),EXACT(C38,AA38)))</f>
        <v/>
      </c>
    </row>
    <row r="39">
      <c r="A39" s="16" t="inlineStr">
        <is>
          <t>CNC3</t>
        </is>
      </c>
      <c r="B39" s="23" t="n">
        <v>46309</v>
      </c>
      <c r="C39" s="20" t="n">
        <v>0</v>
      </c>
      <c r="AA39">
        <f>CHOOSE(WEEKDAY(B39,2),"월","화","수","목","금","토","일")</f>
        <v/>
      </c>
      <c r="AB39">
        <f>AND(_xlfn.ISFORMULA(C39),IFERROR(ROUND(C39,4)=ROUND(AA39,4),EXACT(C39,AA39)))</f>
        <v/>
      </c>
    </row>
    <row r="40">
      <c r="A40" s="16" t="inlineStr">
        <is>
          <t>로봇4</t>
        </is>
      </c>
      <c r="B40" s="23" t="n">
        <v>46313</v>
      </c>
      <c r="C40" s="20" t="n">
        <v>0</v>
      </c>
      <c r="AA40">
        <f>CHOOSE(WEEKDAY(B40,2),"월","화","수","목","금","토","일")</f>
        <v/>
      </c>
      <c r="AB40">
        <f>AND(_xlfn.ISFORMULA(C40),IFERROR(ROUND(C40,4)=ROUND(AA40,4),EXACT(C40,AA40)))</f>
        <v/>
      </c>
    </row>
    <row r="41">
      <c r="A41" s="16" t="inlineStr">
        <is>
          <t>컨베이어5</t>
        </is>
      </c>
      <c r="B41" s="23" t="n">
        <v>46317</v>
      </c>
      <c r="C41" s="20" t="n">
        <v>0</v>
      </c>
      <c r="AA41">
        <f>CHOOSE(WEEKDAY(B41,2),"월","화","수","목","금","토","일")</f>
        <v/>
      </c>
      <c r="AB41">
        <f>AND(_xlfn.ISFORMULA(C41),IFERROR(ROUND(C41,4)=ROUND(AA41,4),EXACT(C41,AA41)))</f>
        <v/>
      </c>
    </row>
    <row r="42">
      <c r="A42" s="16" t="inlineStr">
        <is>
          <t>압축기6</t>
        </is>
      </c>
      <c r="B42" s="23" t="n">
        <v>46325</v>
      </c>
      <c r="C42" s="20" t="n">
        <v>0</v>
      </c>
      <c r="AA42">
        <f>CHOOSE(WEEKDAY(B42,2),"월","화","수","목","금","토","일")</f>
        <v/>
      </c>
      <c r="AB42">
        <f>AND(_xlfn.ISFORMULA(C42),IFERROR(ROUND(C42,4)=ROUND(AA42,4),EXACT(C42,AA42)))</f>
        <v/>
      </c>
    </row>
    <row r="45">
      <c r="A45" s="18" t="inlineStr">
        <is>
          <t>[표5] 라인별 불량률</t>
        </is>
      </c>
    </row>
    <row r="46">
      <c r="A46" s="13" t="inlineStr">
        <is>
          <t>라인</t>
        </is>
      </c>
      <c r="B46" s="13" t="inlineStr">
        <is>
          <t>생산량</t>
        </is>
      </c>
      <c r="C46" s="13" t="inlineStr">
        <is>
          <t>불량수</t>
        </is>
      </c>
      <c r="D46" s="13" t="inlineStr">
        <is>
          <t>불량률</t>
        </is>
      </c>
      <c r="E46" s="13" t="inlineStr">
        <is>
          <t>순위</t>
        </is>
      </c>
    </row>
    <row r="47">
      <c r="A47" s="16" t="inlineStr">
        <is>
          <t>A라인</t>
        </is>
      </c>
      <c r="B47" s="17" t="n">
        <v>2500</v>
      </c>
      <c r="C47" s="16" t="n">
        <v>30</v>
      </c>
      <c r="D47" s="24" t="n">
        <v>0.012</v>
      </c>
      <c r="E47" s="20" t="n">
        <v>0</v>
      </c>
      <c r="AA47">
        <f>_xlfn.RANK.EQ(D47,$D$47:$D$52,1)&amp;"위"</f>
        <v/>
      </c>
      <c r="AB47">
        <f>AND(_xlfn.ISFORMULA(E47),IFERROR(ROUND(E47,4)=ROUND(AA47,4),EXACT(E47,AA47)))</f>
        <v/>
      </c>
    </row>
    <row r="48">
      <c r="A48" s="16" t="inlineStr">
        <is>
          <t>B라인</t>
        </is>
      </c>
      <c r="B48" s="17" t="n">
        <v>2000</v>
      </c>
      <c r="C48" s="16" t="n">
        <v>50</v>
      </c>
      <c r="D48" s="24" t="n">
        <v>0.025</v>
      </c>
      <c r="E48" s="20" t="n">
        <v>0</v>
      </c>
      <c r="AA48">
        <f>_xlfn.RANK.EQ(D48,$D$47:$D$52,1)&amp;"위"</f>
        <v/>
      </c>
      <c r="AB48">
        <f>AND(_xlfn.ISFORMULA(E48),IFERROR(ROUND(E48,4)=ROUND(AA48,4),EXACT(E48,AA48)))</f>
        <v/>
      </c>
    </row>
    <row r="49">
      <c r="A49" s="16" t="inlineStr">
        <is>
          <t>C라인</t>
        </is>
      </c>
      <c r="B49" s="17" t="n">
        <v>2500</v>
      </c>
      <c r="C49" s="16" t="n">
        <v>20</v>
      </c>
      <c r="D49" s="24" t="n">
        <v>0.008</v>
      </c>
      <c r="E49" s="20" t="n">
        <v>0</v>
      </c>
      <c r="AA49">
        <f>_xlfn.RANK.EQ(D49,$D$47:$D$52,1)&amp;"위"</f>
        <v/>
      </c>
      <c r="AB49">
        <f>AND(_xlfn.ISFORMULA(E49),IFERROR(ROUND(E49,4)=ROUND(AA49,4),EXACT(E49,AA49)))</f>
        <v/>
      </c>
    </row>
    <row r="50">
      <c r="A50" s="16" t="inlineStr">
        <is>
          <t>D라인</t>
        </is>
      </c>
      <c r="B50" s="17" t="n">
        <v>1600</v>
      </c>
      <c r="C50" s="16" t="n">
        <v>50</v>
      </c>
      <c r="D50" s="24" t="n">
        <v>0.03125</v>
      </c>
      <c r="E50" s="20" t="n">
        <v>0</v>
      </c>
      <c r="AA50">
        <f>_xlfn.RANK.EQ(D50,$D$47:$D$52,1)&amp;"위"</f>
        <v/>
      </c>
      <c r="AB50">
        <f>AND(_xlfn.ISFORMULA(E50),IFERROR(ROUND(E50,4)=ROUND(AA50,4),EXACT(E50,AA50)))</f>
        <v/>
      </c>
    </row>
    <row r="51">
      <c r="A51" s="16" t="inlineStr">
        <is>
          <t>E라인</t>
        </is>
      </c>
      <c r="B51" s="17" t="n">
        <v>2000</v>
      </c>
      <c r="C51" s="16" t="n">
        <v>30</v>
      </c>
      <c r="D51" s="24" t="n">
        <v>0.015</v>
      </c>
      <c r="E51" s="20" t="n">
        <v>0</v>
      </c>
      <c r="AA51">
        <f>_xlfn.RANK.EQ(D51,$D$47:$D$52,1)&amp;"위"</f>
        <v/>
      </c>
      <c r="AB51">
        <f>AND(_xlfn.ISFORMULA(E51),IFERROR(ROUND(E51,4)=ROUND(AA51,4),EXACT(E51,AA51)))</f>
        <v/>
      </c>
    </row>
    <row r="52">
      <c r="A52" s="16" t="inlineStr">
        <is>
          <t>F라인</t>
        </is>
      </c>
      <c r="B52" s="17" t="n">
        <v>1500</v>
      </c>
      <c r="C52" s="16" t="n">
        <v>30</v>
      </c>
      <c r="D52" s="24" t="n">
        <v>0.02</v>
      </c>
      <c r="E52" s="20" t="n">
        <v>0</v>
      </c>
      <c r="AA52">
        <f>_xlfn.RANK.EQ(D52,$D$47:$D$52,1)&amp;"위"</f>
        <v/>
      </c>
      <c r="AB52">
        <f>AND(_xlfn.ISFORMULA(E52),IFERROR(ROUND(E52,4)=ROUND(AA52,4),EXACT(E52,AA52)))</f>
        <v/>
      </c>
    </row>
  </sheetData>
  <mergeCells count="5">
    <mergeCell ref="A13:F13"/>
    <mergeCell ref="A1:F1"/>
    <mergeCell ref="A45:E45"/>
    <mergeCell ref="A35:C35"/>
    <mergeCell ref="A25:F25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12" t="inlineStr">
        <is>
          <t>분석작업-1</t>
        </is>
      </c>
    </row>
    <row r="3">
      <c r="A3" s="13" t="inlineStr">
        <is>
          <t>점검일</t>
        </is>
      </c>
      <c r="B3" s="13" t="inlineStr">
        <is>
          <t>공정</t>
        </is>
      </c>
      <c r="C3" s="13" t="inlineStr">
        <is>
          <t>설비</t>
        </is>
      </c>
      <c r="D3" s="13" t="inlineStr">
        <is>
          <t>점검구분</t>
        </is>
      </c>
      <c r="E3" s="13" t="inlineStr">
        <is>
          <t>작업시간</t>
        </is>
      </c>
      <c r="F3" s="13" t="inlineStr">
        <is>
          <t>수리비</t>
        </is>
      </c>
    </row>
    <row r="4">
      <c r="A4" s="23" t="n">
        <v>46266</v>
      </c>
      <c r="B4" s="16" t="inlineStr">
        <is>
          <t>프레스</t>
        </is>
      </c>
      <c r="C4" s="16" t="inlineStr">
        <is>
          <t>PR-01</t>
        </is>
      </c>
      <c r="D4" s="16" t="inlineStr">
        <is>
          <t>정기</t>
        </is>
      </c>
      <c r="E4" s="16" t="n">
        <v>2</v>
      </c>
      <c r="F4" s="17" t="n">
        <v>120000</v>
      </c>
    </row>
    <row r="5">
      <c r="A5" s="23" t="n">
        <v>46267</v>
      </c>
      <c r="B5" s="16" t="inlineStr">
        <is>
          <t>용접</t>
        </is>
      </c>
      <c r="C5" s="16" t="inlineStr">
        <is>
          <t>WD-02</t>
        </is>
      </c>
      <c r="D5" s="16" t="inlineStr">
        <is>
          <t>고장</t>
        </is>
      </c>
      <c r="E5" s="16" t="n">
        <v>3.5</v>
      </c>
      <c r="F5" s="17" t="n">
        <v>85000</v>
      </c>
    </row>
    <row r="6">
      <c r="A6" s="23" t="n">
        <v>46268</v>
      </c>
      <c r="B6" s="16" t="inlineStr">
        <is>
          <t>가공</t>
        </is>
      </c>
      <c r="C6" s="16" t="inlineStr">
        <is>
          <t>CN-03</t>
        </is>
      </c>
      <c r="D6" s="16" t="inlineStr">
        <is>
          <t>정기</t>
        </is>
      </c>
      <c r="E6" s="16" t="n">
        <v>1.5</v>
      </c>
      <c r="F6" s="17" t="n">
        <v>60000</v>
      </c>
    </row>
    <row r="7">
      <c r="A7" s="23" t="n">
        <v>46269</v>
      </c>
      <c r="B7" s="16" t="inlineStr">
        <is>
          <t>프레스</t>
        </is>
      </c>
      <c r="C7" s="16" t="inlineStr">
        <is>
          <t>PR-02</t>
        </is>
      </c>
      <c r="D7" s="16" t="inlineStr">
        <is>
          <t>고장</t>
        </is>
      </c>
      <c r="E7" s="16" t="n">
        <v>4</v>
      </c>
      <c r="F7" s="17" t="n">
        <v>210000</v>
      </c>
    </row>
    <row r="8">
      <c r="A8" s="23" t="n">
        <v>46272</v>
      </c>
      <c r="B8" s="16" t="inlineStr">
        <is>
          <t>가공</t>
        </is>
      </c>
      <c r="C8" s="16" t="inlineStr">
        <is>
          <t>CN-04</t>
        </is>
      </c>
      <c r="D8" s="16" t="inlineStr">
        <is>
          <t>고장</t>
        </is>
      </c>
      <c r="E8" s="16" t="n">
        <v>5</v>
      </c>
      <c r="F8" s="17" t="n">
        <v>240000</v>
      </c>
    </row>
    <row r="9">
      <c r="A9" s="23" t="n">
        <v>46273</v>
      </c>
      <c r="B9" s="16" t="inlineStr">
        <is>
          <t>용접</t>
        </is>
      </c>
      <c r="C9" s="16" t="inlineStr">
        <is>
          <t>WD-01</t>
        </is>
      </c>
      <c r="D9" s="16" t="inlineStr">
        <is>
          <t>정기</t>
        </is>
      </c>
      <c r="E9" s="16" t="n">
        <v>1</v>
      </c>
      <c r="F9" s="17" t="n">
        <v>30000</v>
      </c>
    </row>
    <row r="10">
      <c r="A10" s="23" t="n">
        <v>46274</v>
      </c>
      <c r="B10" s="16" t="inlineStr">
        <is>
          <t>프레스</t>
        </is>
      </c>
      <c r="C10" s="16" t="inlineStr">
        <is>
          <t>PR-03</t>
        </is>
      </c>
      <c r="D10" s="16" t="inlineStr">
        <is>
          <t>정기</t>
        </is>
      </c>
      <c r="E10" s="16" t="n">
        <v>1.5</v>
      </c>
      <c r="F10" s="17" t="n">
        <v>45000</v>
      </c>
    </row>
    <row r="11">
      <c r="A11" s="23" t="n">
        <v>46275</v>
      </c>
      <c r="B11" s="16" t="inlineStr">
        <is>
          <t>가공</t>
        </is>
      </c>
      <c r="C11" s="16" t="inlineStr">
        <is>
          <t>MC-07</t>
        </is>
      </c>
      <c r="D11" s="16" t="inlineStr">
        <is>
          <t>정기</t>
        </is>
      </c>
      <c r="E11" s="16" t="n">
        <v>2.5</v>
      </c>
      <c r="F11" s="17" t="n">
        <v>90000</v>
      </c>
    </row>
    <row r="12">
      <c r="A12" s="23" t="n">
        <v>46276</v>
      </c>
      <c r="B12" s="16" t="inlineStr">
        <is>
          <t>용접</t>
        </is>
      </c>
      <c r="C12" s="16" t="inlineStr">
        <is>
          <t>WD-03</t>
        </is>
      </c>
      <c r="D12" s="16" t="inlineStr">
        <is>
          <t>고장</t>
        </is>
      </c>
      <c r="E12" s="16" t="n">
        <v>2</v>
      </c>
      <c r="F12" s="17" t="n">
        <v>70000</v>
      </c>
    </row>
    <row r="13">
      <c r="A13" s="23" t="n">
        <v>46279</v>
      </c>
      <c r="B13" s="16" t="inlineStr">
        <is>
          <t>프레스</t>
        </is>
      </c>
      <c r="C13" s="16" t="inlineStr">
        <is>
          <t>PR-01</t>
        </is>
      </c>
      <c r="D13" s="16" t="inlineStr">
        <is>
          <t>고장</t>
        </is>
      </c>
      <c r="E13" s="16" t="n">
        <v>3</v>
      </c>
      <c r="F13" s="17" t="n">
        <v>150000</v>
      </c>
    </row>
  </sheetData>
  <mergeCells count="1">
    <mergeCell ref="A1:F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6" customHeight="1">
      <c r="A1" s="12" t="inlineStr">
        <is>
          <t>원가 모형</t>
        </is>
      </c>
    </row>
    <row r="3">
      <c r="A3" s="25" t="inlineStr">
        <is>
          <t>판매단가</t>
        </is>
      </c>
      <c r="B3" s="25" t="n">
        <v>12000</v>
      </c>
    </row>
    <row r="4">
      <c r="A4" s="25" t="inlineStr">
        <is>
          <t>생산량</t>
        </is>
      </c>
      <c r="B4" s="25" t="n">
        <v>500</v>
      </c>
    </row>
    <row r="5">
      <c r="A5" s="25" t="inlineStr">
        <is>
          <t>개당 변동비</t>
        </is>
      </c>
      <c r="B5" s="25" t="n">
        <v>7000</v>
      </c>
    </row>
    <row r="6">
      <c r="A6" s="25" t="inlineStr">
        <is>
          <t>고정비</t>
        </is>
      </c>
      <c r="B6" s="25" t="n">
        <v>3000000</v>
      </c>
    </row>
    <row r="7">
      <c r="A7" s="25" t="inlineStr">
        <is>
          <t>이익</t>
        </is>
      </c>
      <c r="B7" s="25">
        <f>B3*B4-(B5*B4+B6)</f>
        <v/>
      </c>
    </row>
  </sheetData>
  <mergeCells count="1">
    <mergeCell ref="A1:D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2" t="inlineStr">
        <is>
          <t>매크로</t>
        </is>
      </c>
    </row>
    <row r="3">
      <c r="A3" s="13" t="inlineStr">
        <is>
          <t>설비코드</t>
        </is>
      </c>
      <c r="B3" s="13" t="inlineStr">
        <is>
          <t>설비명</t>
        </is>
      </c>
      <c r="C3" s="13" t="inlineStr">
        <is>
          <t>라인</t>
        </is>
      </c>
      <c r="D3" s="13" t="inlineStr">
        <is>
          <t>가동시간</t>
        </is>
      </c>
      <c r="E3" s="13" t="inlineStr">
        <is>
          <t>계획시간</t>
        </is>
      </c>
      <c r="F3" s="13" t="inlineStr">
        <is>
          <t>가동률</t>
        </is>
      </c>
    </row>
    <row r="4">
      <c r="A4" s="16" t="inlineStr">
        <is>
          <t>PR-01</t>
        </is>
      </c>
      <c r="B4" s="16" t="inlineStr">
        <is>
          <t>유압프레스</t>
        </is>
      </c>
      <c r="C4" s="16" t="inlineStr">
        <is>
          <t>A</t>
        </is>
      </c>
      <c r="D4" s="16" t="n">
        <v>186</v>
      </c>
      <c r="E4" s="16" t="n">
        <v>200</v>
      </c>
      <c r="F4" s="26" t="n"/>
    </row>
    <row r="5">
      <c r="A5" s="16" t="inlineStr">
        <is>
          <t>WD-02</t>
        </is>
      </c>
      <c r="B5" s="16" t="inlineStr">
        <is>
          <t>스폿용접기</t>
        </is>
      </c>
      <c r="C5" s="16" t="inlineStr">
        <is>
          <t>A</t>
        </is>
      </c>
      <c r="D5" s="16" t="n">
        <v>170</v>
      </c>
      <c r="E5" s="16" t="n">
        <v>200</v>
      </c>
      <c r="F5" s="26" t="n"/>
    </row>
    <row r="6">
      <c r="A6" s="16" t="inlineStr">
        <is>
          <t>CN-03</t>
        </is>
      </c>
      <c r="B6" s="16" t="inlineStr">
        <is>
          <t>CNC선반</t>
        </is>
      </c>
      <c r="C6" s="16" t="inlineStr">
        <is>
          <t>B</t>
        </is>
      </c>
      <c r="D6" s="16" t="n">
        <v>160</v>
      </c>
      <c r="E6" s="16" t="n">
        <v>200</v>
      </c>
      <c r="F6" s="26" t="n"/>
    </row>
    <row r="7">
      <c r="A7" s="16" t="inlineStr">
        <is>
          <t>RB-04</t>
        </is>
      </c>
      <c r="B7" s="16" t="inlineStr">
        <is>
          <t>조립로봇</t>
        </is>
      </c>
      <c r="C7" s="16" t="inlineStr">
        <is>
          <t>B</t>
        </is>
      </c>
      <c r="D7" s="16" t="n">
        <v>176</v>
      </c>
      <c r="E7" s="16" t="n">
        <v>200</v>
      </c>
      <c r="F7" s="26" t="n"/>
    </row>
    <row r="8">
      <c r="A8" s="16" t="inlineStr">
        <is>
          <t>CV-05</t>
        </is>
      </c>
      <c r="B8" s="16" t="inlineStr">
        <is>
          <t>컨베이어</t>
        </is>
      </c>
      <c r="C8" s="16" t="inlineStr">
        <is>
          <t>C</t>
        </is>
      </c>
      <c r="D8" s="16" t="n">
        <v>124</v>
      </c>
      <c r="E8" s="16" t="n">
        <v>200</v>
      </c>
      <c r="F8" s="26" t="n"/>
    </row>
    <row r="9">
      <c r="A9" s="16" t="inlineStr">
        <is>
          <t>AC-06</t>
        </is>
      </c>
      <c r="B9" s="16" t="inlineStr">
        <is>
          <t>공기압축기</t>
        </is>
      </c>
      <c r="C9" s="16" t="inlineStr">
        <is>
          <t>C</t>
        </is>
      </c>
      <c r="D9" s="16" t="n">
        <v>190</v>
      </c>
      <c r="E9" s="16" t="n">
        <v>200</v>
      </c>
      <c r="F9" s="26" t="n"/>
    </row>
    <row r="10">
      <c r="A10" s="16" t="inlineStr">
        <is>
          <t>MC-07</t>
        </is>
      </c>
      <c r="B10" s="16" t="inlineStr">
        <is>
          <t>머시닝센터</t>
        </is>
      </c>
      <c r="C10" s="16" t="inlineStr">
        <is>
          <t>B</t>
        </is>
      </c>
      <c r="D10" s="16" t="n">
        <v>194</v>
      </c>
      <c r="E10" s="16" t="n">
        <v>200</v>
      </c>
      <c r="F10" s="26" t="n"/>
    </row>
  </sheetData>
  <mergeCells count="1">
    <mergeCell ref="A1:G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s="27" t="inlineStr">
        <is>
          <t>하반기 생산 실적</t>
        </is>
      </c>
    </row>
    <row r="3">
      <c r="A3" s="13" t="inlineStr">
        <is>
          <t>월</t>
        </is>
      </c>
      <c r="B3" s="13" t="inlineStr">
        <is>
          <t>생산량</t>
        </is>
      </c>
      <c r="C3" s="13" t="inlineStr">
        <is>
          <t>불량수</t>
        </is>
      </c>
    </row>
    <row r="4">
      <c r="A4" s="16" t="inlineStr">
        <is>
          <t>7월</t>
        </is>
      </c>
      <c r="B4" s="17" t="n">
        <v>5200</v>
      </c>
      <c r="C4" s="17" t="n">
        <v>104</v>
      </c>
    </row>
    <row r="5">
      <c r="A5" s="16" t="inlineStr">
        <is>
          <t>8월</t>
        </is>
      </c>
      <c r="B5" s="17" t="n">
        <v>4800</v>
      </c>
      <c r="C5" s="17" t="n">
        <v>120</v>
      </c>
    </row>
    <row r="6">
      <c r="A6" s="16" t="inlineStr">
        <is>
          <t>9월</t>
        </is>
      </c>
      <c r="B6" s="17" t="n">
        <v>5600</v>
      </c>
      <c r="C6" s="17" t="n">
        <v>84</v>
      </c>
    </row>
    <row r="7">
      <c r="A7" s="16" t="inlineStr">
        <is>
          <t>10월</t>
        </is>
      </c>
      <c r="B7" s="17" t="n">
        <v>6100</v>
      </c>
      <c r="C7" s="17" t="n">
        <v>92</v>
      </c>
    </row>
    <row r="8">
      <c r="A8" s="16" t="inlineStr">
        <is>
          <t>11월</t>
        </is>
      </c>
      <c r="B8" s="17" t="n">
        <v>5900</v>
      </c>
      <c r="C8" s="17" t="n">
        <v>71</v>
      </c>
    </row>
    <row r="9">
      <c r="A9" s="16" t="inlineStr">
        <is>
          <t>12월</t>
        </is>
      </c>
      <c r="B9" s="17" t="n">
        <v>6400</v>
      </c>
      <c r="C9" s="17" t="n">
        <v>64</v>
      </c>
    </row>
  </sheetData>
  <printOptions horizontalCentered="1"/>
  <pageMargins left="0.3" right="0.3" top="0.4" bottom="0.4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G3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7" customWidth="1" min="3" max="3"/>
    <col width="9" customWidth="1" min="4" max="4"/>
    <col width="9" customWidth="1" min="5" max="5"/>
    <col width="40" customWidth="1" min="6" max="6"/>
    <col width="8" customWidth="1" min="7" max="7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26" customHeight="1">
      <c r="A1" s="12" t="inlineStr">
        <is>
          <t>채점표 — 제1회 (자동 칸은 저절로, '스스로' 칸은 O / X 를 고르세요)</t>
        </is>
      </c>
    </row>
    <row r="3" ht="24" customHeight="1">
      <c r="A3" s="28" t="inlineStr">
        <is>
          <t>작업</t>
        </is>
      </c>
      <c r="B3" s="28" t="inlineStr">
        <is>
          <t>문항</t>
        </is>
      </c>
      <c r="C3" s="28" t="inlineStr">
        <is>
          <t>배점</t>
        </is>
      </c>
      <c r="D3" s="28" t="inlineStr">
        <is>
          <t>방식</t>
        </is>
      </c>
      <c r="E3" s="28" t="inlineStr">
        <is>
          <t>점수</t>
        </is>
      </c>
      <c r="F3" s="28" t="inlineStr">
        <is>
          <t>확인 방법</t>
        </is>
      </c>
      <c r="G3" s="29" t="inlineStr">
        <is>
          <t>O / X</t>
        </is>
      </c>
    </row>
    <row r="4" ht="30" customHeight="1">
      <c r="A4" s="16" t="inlineStr">
        <is>
          <t>기본작업-1</t>
        </is>
      </c>
      <c r="B4" s="30" t="inlineStr">
        <is>
          <t>자료 입력 (42칸 모두 정확히)</t>
        </is>
      </c>
      <c r="C4" s="16" t="n">
        <v>5</v>
      </c>
      <c r="D4" s="16" t="inlineStr">
        <is>
          <t>자동</t>
        </is>
      </c>
      <c r="E4" s="31">
        <f>IF(SUMPRODUCT(--EXACT('기본작업-1'!$A$4:$F$10&amp;"",'채점표'!$AA$4:$AF$10&amp;""))=42,5,0)</f>
        <v/>
      </c>
      <c r="F4" s="32" t="inlineStr">
        <is>
          <t>자동 — 한 칸이라도 다르면 0점 (실제 시험과 같음)</t>
        </is>
      </c>
      <c r="AA4" t="inlineStr">
        <is>
          <t>PR-01</t>
        </is>
      </c>
      <c r="AB4" t="inlineStr">
        <is>
          <t>유압프레스</t>
        </is>
      </c>
      <c r="AC4" s="33" t="n">
        <v>43528</v>
      </c>
      <c r="AD4" t="n">
        <v>30</v>
      </c>
      <c r="AE4" t="inlineStr">
        <is>
          <t>김도윤</t>
        </is>
      </c>
      <c r="AF4" t="inlineStr">
        <is>
          <t>금형 교체</t>
        </is>
      </c>
    </row>
    <row r="5" ht="30" customHeight="1">
      <c r="A5" s="16" t="inlineStr">
        <is>
          <t>기본작업-2</t>
        </is>
      </c>
      <c r="B5" s="30" t="inlineStr">
        <is>
          <t>1) [A1:G1] 셀을 병합하여 가운데 맞춤, 글꼴 '굴림' · 16pt · 굵게</t>
        </is>
      </c>
      <c r="C5" s="16" t="n">
        <v>2</v>
      </c>
      <c r="D5" s="16" t="inlineStr">
        <is>
          <t>스스로</t>
        </is>
      </c>
      <c r="E5" s="34">
        <f>IF(G5="O",C5,0)</f>
        <v/>
      </c>
      <c r="F5" s="32" t="inlineStr">
        <is>
          <t>제목 칸을 누르면 A1:G1 이 하나로 합쳐져 있고, 글꼴 상자에 굴림·16</t>
        </is>
      </c>
      <c r="G5" s="35" t="n"/>
      <c r="AA5" t="inlineStr">
        <is>
          <t>WD-02</t>
        </is>
      </c>
      <c r="AB5" t="inlineStr">
        <is>
          <t>스폿용접기</t>
        </is>
      </c>
      <c r="AC5" s="33" t="n">
        <v>44389</v>
      </c>
      <c r="AD5" t="n">
        <v>14</v>
      </c>
      <c r="AE5" t="inlineStr">
        <is>
          <t>이서연</t>
        </is>
      </c>
      <c r="AF5" t="inlineStr"/>
    </row>
    <row r="6" ht="30" customHeight="1">
      <c r="A6" s="16" t="inlineStr">
        <is>
          <t>기본작업-2</t>
        </is>
      </c>
      <c r="B6" s="30" t="inlineStr">
        <is>
          <t>2) [A3:G3] 영역은 가운데 맞춤, 채우기 색 '노랑'</t>
        </is>
      </c>
      <c r="C6" s="16" t="n">
        <v>2</v>
      </c>
      <c r="D6" s="16" t="inlineStr">
        <is>
          <t>스스로</t>
        </is>
      </c>
      <c r="E6" s="34">
        <f>IF(G6="O",C6,0)</f>
        <v/>
      </c>
      <c r="F6" s="32" t="inlineStr">
        <is>
          <t>머리글 줄이 노랗고 글자가 가운데</t>
        </is>
      </c>
      <c r="G6" s="35" t="n"/>
      <c r="AA6" t="inlineStr">
        <is>
          <t>CN-03</t>
        </is>
      </c>
      <c r="AB6" t="inlineStr">
        <is>
          <t>CNC선반</t>
        </is>
      </c>
      <c r="AC6" s="33" t="n">
        <v>43424</v>
      </c>
      <c r="AD6" t="n">
        <v>60</v>
      </c>
      <c r="AE6" t="inlineStr">
        <is>
          <t>박지훈</t>
        </is>
      </c>
      <c r="AF6" t="inlineStr">
        <is>
          <t>주축 점검</t>
        </is>
      </c>
    </row>
    <row r="7" ht="30" customHeight="1">
      <c r="A7" s="16" t="inlineStr">
        <is>
          <t>기본작업-2</t>
        </is>
      </c>
      <c r="B7" s="30" t="inlineStr">
        <is>
          <t>3) [D4:D12] 영역에 사용자 지정 서식으로 천 단위 쉼표와 "원" 표시 (예: 4,200원)</t>
        </is>
      </c>
      <c r="C7" s="16" t="n">
        <v>2</v>
      </c>
      <c r="D7" s="16" t="inlineStr">
        <is>
          <t>스스로</t>
        </is>
      </c>
      <c r="E7" s="34">
        <f>IF(G7="O",C7,0)</f>
        <v/>
      </c>
      <c r="F7" s="32" t="inlineStr">
        <is>
          <t>D4 를 누르고 Ctrl+1 → 사용자 지정에 #,##0"원"</t>
        </is>
      </c>
      <c r="G7" s="35" t="n"/>
      <c r="AA7" t="inlineStr">
        <is>
          <t>RB-04</t>
        </is>
      </c>
      <c r="AB7" t="inlineStr">
        <is>
          <t>조립로봇</t>
        </is>
      </c>
      <c r="AC7" s="33" t="n">
        <v>44958</v>
      </c>
      <c r="AD7" t="n">
        <v>90</v>
      </c>
      <c r="AE7" t="inlineStr">
        <is>
          <t>최하은</t>
        </is>
      </c>
      <c r="AF7" t="inlineStr"/>
    </row>
    <row r="8" ht="30" customHeight="1">
      <c r="A8" s="16" t="inlineStr">
        <is>
          <t>기본작업-2</t>
        </is>
      </c>
      <c r="B8" s="30" t="inlineStr">
        <is>
          <t>4) [G4:G12] 영역의 이름을 '재고금액' 으로 정의</t>
        </is>
      </c>
      <c r="C8" s="16" t="n">
        <v>2</v>
      </c>
      <c r="D8" s="16" t="inlineStr">
        <is>
          <t>자동</t>
        </is>
      </c>
      <c r="E8" s="31">
        <f>IF(ISREF(재고금액),2,0)</f>
        <v/>
      </c>
      <c r="F8" s="32" t="inlineStr">
        <is>
          <t>자동 채점 — 이름 상자에서 '재고금액' 을 고르면 G4:G12 가 선택됨</t>
        </is>
      </c>
      <c r="AA8" t="inlineStr">
        <is>
          <t>CV-05</t>
        </is>
      </c>
      <c r="AB8" t="inlineStr">
        <is>
          <t>벨트컨베이어</t>
        </is>
      </c>
      <c r="AC8" s="33" t="n">
        <v>43966</v>
      </c>
      <c r="AD8" t="n">
        <v>7</v>
      </c>
      <c r="AE8" t="inlineStr">
        <is>
          <t>정민재</t>
        </is>
      </c>
      <c r="AF8" t="inlineStr">
        <is>
          <t>벨트 장력</t>
        </is>
      </c>
    </row>
    <row r="9" ht="30" customHeight="1">
      <c r="A9" s="16" t="inlineStr">
        <is>
          <t>기본작업-2</t>
        </is>
      </c>
      <c r="B9" s="30" t="inlineStr">
        <is>
          <t>5) [A3:G12] 영역에 '모든 테두리'</t>
        </is>
      </c>
      <c r="C9" s="16" t="n">
        <v>2</v>
      </c>
      <c r="D9" s="16" t="inlineStr">
        <is>
          <t>스스로</t>
        </is>
      </c>
      <c r="E9" s="34">
        <f>IF(G9="O",C9,0)</f>
        <v/>
      </c>
      <c r="F9" s="32" t="inlineStr">
        <is>
          <t>표 전체에 가는 선이 칸마다 있음</t>
        </is>
      </c>
      <c r="G9" s="35" t="n"/>
      <c r="AA9" t="inlineStr">
        <is>
          <t>AC-06</t>
        </is>
      </c>
      <c r="AB9" t="inlineStr">
        <is>
          <t>공기압축기</t>
        </is>
      </c>
      <c r="AC9" s="33" t="n">
        <v>42986</v>
      </c>
      <c r="AD9" t="n">
        <v>30</v>
      </c>
      <c r="AE9" t="inlineStr">
        <is>
          <t>한수아</t>
        </is>
      </c>
      <c r="AF9" t="inlineStr">
        <is>
          <t>드레인</t>
        </is>
      </c>
    </row>
    <row r="10" ht="30" customHeight="1">
      <c r="A10" s="16" t="inlineStr">
        <is>
          <t>기본작업-3</t>
        </is>
      </c>
      <c r="B10" s="30" t="inlineStr">
        <is>
          <t>고급 필터 (조건 · 결과 3행)</t>
        </is>
      </c>
      <c r="C10" s="16" t="n">
        <v>5</v>
      </c>
      <c r="D10" s="16" t="inlineStr">
        <is>
          <t>자동</t>
        </is>
      </c>
      <c r="E10" s="31">
        <f>IF(AND(SUMPRODUCT(--('기본작업-3'!$A$19:$G$22&amp;""='채점표'!$AA$12:$AG$15&amp;""))=28,COUNTA('기본작업-3'!$A$23:$G$23)=0),5,0)</f>
        <v/>
      </c>
      <c r="F10" s="32" t="inlineStr">
        <is>
          <t>자동 — 결과가 A19 부터 정확히 3행</t>
        </is>
      </c>
      <c r="AA10" t="inlineStr">
        <is>
          <t>MC-07</t>
        </is>
      </c>
      <c r="AB10" t="inlineStr">
        <is>
          <t>머시닝센터</t>
        </is>
      </c>
      <c r="AC10" s="33" t="n">
        <v>44837</v>
      </c>
      <c r="AD10" t="n">
        <v>45</v>
      </c>
      <c r="AE10" t="inlineStr">
        <is>
          <t>오지성</t>
        </is>
      </c>
      <c r="AF10" t="inlineStr"/>
    </row>
    <row r="11" ht="30" customHeight="1">
      <c r="A11" s="16" t="inlineStr">
        <is>
          <t>계산작업</t>
        </is>
      </c>
      <c r="B11" s="30" t="inlineStr">
        <is>
          <t>1. [표1] 설비 가동 현황 [F3:F10]</t>
        </is>
      </c>
      <c r="C11" s="16" t="n">
        <v>8</v>
      </c>
      <c r="D11" s="16" t="inlineStr">
        <is>
          <t>자동</t>
        </is>
      </c>
      <c r="E11" s="31">
        <f>IF(COUNTIF('계산작업'!$AB$3:$AB$10,TRUE)=8,8,0)</f>
        <v/>
      </c>
      <c r="F11" s="32" t="inlineStr">
        <is>
          <t>자동 — 8칸 모두 맞아야 8점</t>
        </is>
      </c>
    </row>
    <row r="12" ht="30" customHeight="1">
      <c r="A12" s="16" t="inlineStr">
        <is>
          <t>계산작업</t>
        </is>
      </c>
      <c r="B12" s="30" t="inlineStr">
        <is>
          <t>2. [표2] 부서별 수리비 [F15:F17]</t>
        </is>
      </c>
      <c r="C12" s="16" t="n">
        <v>8</v>
      </c>
      <c r="D12" s="16" t="inlineStr">
        <is>
          <t>자동</t>
        </is>
      </c>
      <c r="E12" s="31">
        <f>IF(COUNTIF('계산작업'!$AB$15:$AB$17,TRUE)=3,8,0)</f>
        <v/>
      </c>
      <c r="F12" s="32" t="inlineStr">
        <is>
          <t>자동 — 3칸 모두 맞아야 8점</t>
        </is>
      </c>
      <c r="AA12" t="inlineStr">
        <is>
          <t>부품코드</t>
        </is>
      </c>
      <c r="AB12" t="inlineStr">
        <is>
          <t>부품명</t>
        </is>
      </c>
      <c r="AC12" t="inlineStr">
        <is>
          <t>분류</t>
        </is>
      </c>
      <c r="AD12" t="inlineStr">
        <is>
          <t>단가</t>
        </is>
      </c>
      <c r="AE12" t="inlineStr">
        <is>
          <t>재고</t>
        </is>
      </c>
      <c r="AF12" t="inlineStr">
        <is>
          <t>안전재고</t>
        </is>
      </c>
      <c r="AG12" t="inlineStr">
        <is>
          <t>재고금액</t>
        </is>
      </c>
    </row>
    <row r="13" ht="30" customHeight="1">
      <c r="A13" s="16" t="inlineStr">
        <is>
          <t>계산작업</t>
        </is>
      </c>
      <c r="B13" s="30" t="inlineStr">
        <is>
          <t>3. [표3] 설비 공정 구분 [C27:C32]</t>
        </is>
      </c>
      <c r="C13" s="16" t="n">
        <v>8</v>
      </c>
      <c r="D13" s="16" t="inlineStr">
        <is>
          <t>자동</t>
        </is>
      </c>
      <c r="E13" s="31">
        <f>IF(COUNTIF('계산작업'!$AB$27:$AB$32,TRUE)=6,8,0)</f>
        <v/>
      </c>
      <c r="F13" s="32" t="inlineStr">
        <is>
          <t>자동 — 6칸 모두 맞아야 8점</t>
        </is>
      </c>
      <c r="AA13" t="inlineStr">
        <is>
          <t>B-102</t>
        </is>
      </c>
      <c r="AB13" t="inlineStr">
        <is>
          <t>볼베어링 6305</t>
        </is>
      </c>
      <c r="AC13" t="inlineStr">
        <is>
          <t>베어링</t>
        </is>
      </c>
      <c r="AD13" t="n">
        <v>5600</v>
      </c>
      <c r="AE13" t="n">
        <v>35</v>
      </c>
      <c r="AF13" t="n">
        <v>40</v>
      </c>
      <c r="AG13" t="n">
        <v>196000</v>
      </c>
    </row>
    <row r="14" ht="30" customHeight="1">
      <c r="A14" s="16" t="inlineStr">
        <is>
          <t>계산작업</t>
        </is>
      </c>
      <c r="B14" s="30" t="inlineStr">
        <is>
          <t>4. [표4] 점검 일정 [C37:C42]</t>
        </is>
      </c>
      <c r="C14" s="16" t="n">
        <v>8</v>
      </c>
      <c r="D14" s="16" t="inlineStr">
        <is>
          <t>자동</t>
        </is>
      </c>
      <c r="E14" s="31">
        <f>IF(COUNTIF('계산작업'!$AB$37:$AB$42,TRUE)=6,8,0)</f>
        <v/>
      </c>
      <c r="F14" s="32" t="inlineStr">
        <is>
          <t>자동 — 6칸 모두 맞아야 8점</t>
        </is>
      </c>
      <c r="AA14" t="inlineStr">
        <is>
          <t>B-103</t>
        </is>
      </c>
      <c r="AB14" t="inlineStr">
        <is>
          <t>니들베어링 HK20</t>
        </is>
      </c>
      <c r="AC14" t="inlineStr">
        <is>
          <t>베어링</t>
        </is>
      </c>
      <c r="AD14" t="n">
        <v>3100</v>
      </c>
      <c r="AE14" t="n">
        <v>48</v>
      </c>
      <c r="AF14" t="n">
        <v>30</v>
      </c>
      <c r="AG14" t="n">
        <v>148800</v>
      </c>
    </row>
    <row r="15" ht="30" customHeight="1">
      <c r="A15" s="16" t="inlineStr">
        <is>
          <t>계산작업</t>
        </is>
      </c>
      <c r="B15" s="30" t="inlineStr">
        <is>
          <t>5. [표5] 라인별 불량률 [E47:E52]</t>
        </is>
      </c>
      <c r="C15" s="16" t="n">
        <v>8</v>
      </c>
      <c r="D15" s="16" t="inlineStr">
        <is>
          <t>자동</t>
        </is>
      </c>
      <c r="E15" s="31">
        <f>IF(COUNTIF('계산작업'!$AB$47:$AB$52,TRUE)=6,8,0)</f>
        <v/>
      </c>
      <c r="F15" s="32" t="inlineStr">
        <is>
          <t>자동 — 6칸 모두 맞아야 8점</t>
        </is>
      </c>
      <c r="AA15" t="inlineStr">
        <is>
          <t>B-104</t>
        </is>
      </c>
      <c r="AB15" t="inlineStr">
        <is>
          <t>테이퍼베어링 30205</t>
        </is>
      </c>
      <c r="AC15" t="inlineStr">
        <is>
          <t>베어링</t>
        </is>
      </c>
      <c r="AD15" t="n">
        <v>8800</v>
      </c>
      <c r="AE15" t="n">
        <v>26</v>
      </c>
      <c r="AF15" t="n">
        <v>20</v>
      </c>
      <c r="AG15" t="n">
        <v>228800</v>
      </c>
    </row>
    <row r="16" ht="30" customHeight="1">
      <c r="A16" s="16" t="inlineStr">
        <is>
          <t>분석작업-1</t>
        </is>
      </c>
      <c r="B16" s="30" t="inlineStr">
        <is>
          <t>부분합 1) 공정 '가공 → 용접 → 프레스' 순서로 정렬되어 있다</t>
        </is>
      </c>
      <c r="C16" s="16" t="n">
        <v>4</v>
      </c>
      <c r="D16" s="16" t="inlineStr">
        <is>
          <t>스스로</t>
        </is>
      </c>
      <c r="E16" s="34">
        <f>IF(G16="O",C16,0)</f>
        <v/>
      </c>
      <c r="F16" s="32" t="inlineStr">
        <is>
          <t>가공이 맨 위</t>
        </is>
      </c>
      <c r="G16" s="35" t="n"/>
    </row>
    <row r="17" ht="44" customHeight="1">
      <c r="A17" s="16" t="inlineStr">
        <is>
          <t>분석작업-1</t>
        </is>
      </c>
      <c r="B17" s="30" t="inlineStr">
        <is>
          <t>부분합 2) 공정별 [수리비] 합계 줄: 가공 390,000 · 용접 185,000 · 프레스 525,000</t>
        </is>
      </c>
      <c r="C17" s="16" t="n">
        <v>3</v>
      </c>
      <c r="D17" s="16" t="inlineStr">
        <is>
          <t>스스로</t>
        </is>
      </c>
      <c r="E17" s="34">
        <f>IF(G17="O",C17,0)</f>
        <v/>
      </c>
      <c r="F17" s="32" t="inlineStr">
        <is>
          <t>각 공정 끝의 '요약' 줄</t>
        </is>
      </c>
      <c r="G17" s="35" t="n"/>
    </row>
    <row r="18" ht="30" customHeight="1">
      <c r="A18" s="16" t="inlineStr">
        <is>
          <t>분석작업-1</t>
        </is>
      </c>
      <c r="B18" s="30" t="inlineStr">
        <is>
          <t>부분합 3) 공정별 [작업시간] 평균 줄: 가공 3 · 용접 2.166… · 프레스 2.625</t>
        </is>
      </c>
      <c r="C18" s="16" t="n">
        <v>3</v>
      </c>
      <c r="D18" s="16" t="inlineStr">
        <is>
          <t>스스로</t>
        </is>
      </c>
      <c r="E18" s="34">
        <f>IF(G18="O",C18,0)</f>
        <v/>
      </c>
      <c r="F18" s="32" t="inlineStr">
        <is>
          <t>합계 줄 아래에 평균 줄이 따로</t>
        </is>
      </c>
      <c r="G18" s="35" t="n"/>
    </row>
    <row r="19" ht="30" customHeight="1">
      <c r="A19" s="16" t="inlineStr">
        <is>
          <t>분석작업-2</t>
        </is>
      </c>
      <c r="B19" s="30" t="inlineStr">
        <is>
          <t>목표값 찾기 — 생산량 B4 = 800</t>
        </is>
      </c>
      <c r="C19" s="16" t="n">
        <v>10</v>
      </c>
      <c r="D19" s="16" t="inlineStr">
        <is>
          <t>자동</t>
        </is>
      </c>
      <c r="E19" s="31">
        <f>IF(AND(_xlfn.ISFORMULA('분석작업-2'!B7),ROUND('분석작업-2'!B4,0)=800),10,0)</f>
        <v/>
      </c>
      <c r="F19" s="32" t="inlineStr">
        <is>
          <t>자동</t>
        </is>
      </c>
    </row>
    <row r="20" ht="44" customHeight="1">
      <c r="A20" s="16" t="inlineStr">
        <is>
          <t>기타작업-1</t>
        </is>
      </c>
      <c r="B20" s="30" t="inlineStr">
        <is>
          <t>매크로 1) [F4:F10] 에 가동률(가동시간÷계획시간)을 구하는 '가동률' 매크로를 만들고, [H3] 위치의 단추(텍스트 '가동률')에 연결</t>
        </is>
      </c>
      <c r="C20" s="16" t="n">
        <v>5</v>
      </c>
      <c r="D20" s="16" t="inlineStr">
        <is>
          <t>스스로</t>
        </is>
      </c>
      <c r="E20" s="34">
        <f>IF(G20="O",C20,0)</f>
        <v/>
      </c>
      <c r="F20" s="32" t="inlineStr">
        <is>
          <t>F4 에 =D4/E4 가 들어가고 단추를 누르면 다시 채워짐</t>
        </is>
      </c>
      <c r="G20" s="35" t="n"/>
    </row>
    <row r="21" ht="44" customHeight="1">
      <c r="A21" s="16" t="inlineStr">
        <is>
          <t>기타작업-1</t>
        </is>
      </c>
      <c r="B21" s="30" t="inlineStr">
        <is>
          <t>매크로 2) [A3:F3] 영역에 채우기 색 '주황' 을 적용하는 '서식' 매크로를 만들고, [H6] 위치의 단추(텍스트 '서식')에 연결</t>
        </is>
      </c>
      <c r="C21" s="16" t="n">
        <v>5</v>
      </c>
      <c r="D21" s="16" t="inlineStr">
        <is>
          <t>스스로</t>
        </is>
      </c>
      <c r="E21" s="34">
        <f>IF(G21="O",C21,0)</f>
        <v/>
      </c>
      <c r="F21" s="32" t="inlineStr">
        <is>
          <t>단추를 누르면 머리글이 주황</t>
        </is>
      </c>
      <c r="G21" s="35" t="n"/>
    </row>
    <row r="22" ht="30" customHeight="1">
      <c r="A22" s="16" t="inlineStr">
        <is>
          <t>기타작업-2</t>
        </is>
      </c>
      <c r="B22" s="30" t="inlineStr">
        <is>
          <t>차트 1) 차트에 불량수 계열을 추가하시오</t>
        </is>
      </c>
      <c r="C22" s="16" t="n">
        <v>2</v>
      </c>
      <c r="D22" s="16" t="inlineStr">
        <is>
          <t>스스로</t>
        </is>
      </c>
      <c r="E22" s="34">
        <f>IF(G22="O",C22,0)</f>
        <v/>
      </c>
      <c r="F22" s="32" t="inlineStr">
        <is>
          <t>범례에 '불량수' 가 보임</t>
        </is>
      </c>
      <c r="G22" s="35" t="n"/>
    </row>
    <row r="23" ht="30" customHeight="1">
      <c r="A23" s="16" t="inlineStr">
        <is>
          <t>기타작업-2</t>
        </is>
      </c>
      <c r="B23" s="30" t="inlineStr">
        <is>
          <t>차트 2) 불량수 계열을 '표식이 있는 꺾은선형' 으로 바꾸고 보조 축에 표시하시오</t>
        </is>
      </c>
      <c r="C23" s="16" t="n">
        <v>2</v>
      </c>
      <c r="D23" s="16" t="inlineStr">
        <is>
          <t>스스로</t>
        </is>
      </c>
      <c r="E23" s="34">
        <f>IF(G23="O",C23,0)</f>
        <v/>
      </c>
      <c r="F23" s="32" t="inlineStr">
        <is>
          <t>오른쪽에 두 번째 세로축</t>
        </is>
      </c>
      <c r="G23" s="35" t="n"/>
    </row>
    <row r="24" ht="30" customHeight="1">
      <c r="A24" s="16" t="inlineStr">
        <is>
          <t>기타작업-2</t>
        </is>
      </c>
      <c r="B24" s="30" t="inlineStr">
        <is>
          <t>차트 3) 차트 제목을 '하반기 생산 실적' 으로 입력하시오</t>
        </is>
      </c>
      <c r="C24" s="16" t="n">
        <v>2</v>
      </c>
      <c r="D24" s="16" t="inlineStr">
        <is>
          <t>스스로</t>
        </is>
      </c>
      <c r="E24" s="34">
        <f>IF(G24="O",C24,0)</f>
        <v/>
      </c>
      <c r="F24" s="32" t="inlineStr">
        <is>
          <t>위쪽 제목</t>
        </is>
      </c>
      <c r="G24" s="35" t="n"/>
    </row>
    <row r="25" ht="30" customHeight="1">
      <c r="A25" s="16" t="inlineStr">
        <is>
          <t>기타작업-2</t>
        </is>
      </c>
      <c r="B25" s="30" t="inlineStr">
        <is>
          <t>차트 4) 생산량 계열에 데이터 레이블 '값' 을 표시하시오</t>
        </is>
      </c>
      <c r="C25" s="16" t="n">
        <v>2</v>
      </c>
      <c r="D25" s="16" t="inlineStr">
        <is>
          <t>스스로</t>
        </is>
      </c>
      <c r="E25" s="34">
        <f>IF(G25="O",C25,0)</f>
        <v/>
      </c>
      <c r="F25" s="32" t="inlineStr">
        <is>
          <t>막대 위에 숫자</t>
        </is>
      </c>
      <c r="G25" s="35" t="n"/>
    </row>
    <row r="26" ht="30" customHeight="1">
      <c r="A26" s="16" t="inlineStr">
        <is>
          <t>기타작업-2</t>
        </is>
      </c>
      <c r="B26" s="30" t="inlineStr">
        <is>
          <t>차트 5) 범례를 '아래쪽' 에 표시하시오</t>
        </is>
      </c>
      <c r="C26" s="16" t="n">
        <v>2</v>
      </c>
      <c r="D26" s="16" t="inlineStr">
        <is>
          <t>스스로</t>
        </is>
      </c>
      <c r="E26" s="34">
        <f>IF(G26="O",C26,0)</f>
        <v/>
      </c>
      <c r="F26" s="32" t="inlineStr">
        <is>
          <t>범례가 차트 아래</t>
        </is>
      </c>
      <c r="G26" s="35" t="n"/>
    </row>
    <row r="28">
      <c r="B28" s="36" t="inlineStr">
        <is>
          <t>합계 (100점 만점 · 70점 이상 합격)</t>
        </is>
      </c>
      <c r="E28" s="37">
        <f>SUM(E4:E26)</f>
        <v/>
      </c>
      <c r="F28" s="36">
        <f>IF(E28&gt;=70,"🎉 합격","불합격 — 틀린 작업의 [정답·해설]을 보세요")</f>
        <v/>
      </c>
    </row>
    <row r="30" ht="30" customHeight="1">
      <c r="A30" s="6" t="inlineStr">
        <is>
          <t>'스스로' 문항은 [확인 방법] 을 보고 실제로 그렇게 되어 있으면 O. 한 군데라도 다르면 X (실제 시험은 부분 점수 없음).</t>
        </is>
      </c>
    </row>
  </sheetData>
  <mergeCells count="2">
    <mergeCell ref="A30:G30"/>
    <mergeCell ref="A1:F1"/>
  </mergeCells>
  <conditionalFormatting sqref="F28">
    <cfRule type="expression" priority="1" dxfId="0">
      <formula>ISNUMBER(SEARCH("합격",F28))*(E28&gt;=70)</formula>
    </cfRule>
  </conditionalFormatting>
  <dataValidations count="1">
    <dataValidation sqref="G5 G6 G7 G9 G16 G17 G18 G20 G21 G22 G23 G24 G25 G26" showDropDown="0" showInputMessage="0" showErrorMessage="0" allowBlank="1" type="list">
      <formula1>"O,X"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 ht="26" customHeight="1">
      <c r="A1" s="12" t="inlineStr">
        <is>
          <t>정답·해설 — 제1회 (먼저 스스로 끝까지 풀고 보세요)</t>
        </is>
      </c>
    </row>
    <row r="3" ht="24" customHeight="1">
      <c r="A3" s="28" t="inlineStr">
        <is>
          <t>작업</t>
        </is>
      </c>
      <c r="B3" s="28" t="inlineStr">
        <is>
          <t>무엇을</t>
        </is>
      </c>
      <c r="C3" s="28" t="inlineStr">
        <is>
          <t>어떻게 · 정답</t>
        </is>
      </c>
    </row>
    <row r="4" ht="22" customHeight="1">
      <c r="A4" s="38" t="inlineStr">
        <is>
          <t>기본작업-1</t>
        </is>
      </c>
      <c r="B4" s="30" t="inlineStr">
        <is>
          <t>자료 입력</t>
        </is>
      </c>
      <c r="C4" s="30" t="inlineStr">
        <is>
          <t>문제지의 자료를 A4 부터 한 칸씩. 날짜는 2026-03-02 처럼 - 로 입력하면 날짜로 들어갑니다.</t>
        </is>
      </c>
    </row>
    <row r="5" ht="22" customHeight="1">
      <c r="A5" s="38" t="inlineStr">
        <is>
          <t>기본작업-2</t>
        </is>
      </c>
      <c r="B5" s="30" t="inlineStr">
        <is>
          <t>1) [A1:G1] 셀을 병합하여 가운데 맞춤, 글꼴 '굴림' · 16pt · 굵게</t>
        </is>
      </c>
      <c r="C5" s="30" t="inlineStr">
        <is>
          <t>제목 칸을 누르면 A1:G1 이 하나로 합쳐져 있고, 글꼴 상자에 굴림·16</t>
        </is>
      </c>
    </row>
    <row r="6" ht="22" customHeight="1">
      <c r="A6" s="38" t="inlineStr">
        <is>
          <t>기본작업-2</t>
        </is>
      </c>
      <c r="B6" s="30" t="inlineStr">
        <is>
          <t>2) [A3:G3] 영역은 가운데 맞춤, 채우기 색 '노랑'</t>
        </is>
      </c>
      <c r="C6" s="30" t="inlineStr">
        <is>
          <t>머리글 줄이 노랗고 글자가 가운데</t>
        </is>
      </c>
    </row>
    <row r="7" ht="22" customHeight="1">
      <c r="A7" s="38" t="inlineStr">
        <is>
          <t>기본작업-2</t>
        </is>
      </c>
      <c r="B7" s="30" t="inlineStr">
        <is>
          <t>3) [D4:D12] 영역에 사용자 지정 서식으로 천 단위 쉼표와 "원" 표시 (예: 4,200원)</t>
        </is>
      </c>
      <c r="C7" s="30" t="inlineStr">
        <is>
          <t>D4 를 누르고 Ctrl+1 → 사용자 지정에 #,##0"원"</t>
        </is>
      </c>
    </row>
    <row r="8" ht="22" customHeight="1">
      <c r="A8" s="38" t="inlineStr">
        <is>
          <t>기본작업-2</t>
        </is>
      </c>
      <c r="B8" s="30" t="inlineStr">
        <is>
          <t>4) [G4:G12] 영역의 이름을 '재고금액' 으로 정의</t>
        </is>
      </c>
      <c r="C8" s="30" t="inlineStr">
        <is>
          <t>자동 채점 — 이름 상자에서 '재고금액' 을 고르면 G4:G12 가 선택됨</t>
        </is>
      </c>
    </row>
    <row r="9" ht="22" customHeight="1">
      <c r="A9" s="38" t="inlineStr">
        <is>
          <t>기본작업-2</t>
        </is>
      </c>
      <c r="B9" s="30" t="inlineStr">
        <is>
          <t>5) [A3:G12] 영역에 '모든 테두리'</t>
        </is>
      </c>
      <c r="C9" s="30" t="inlineStr">
        <is>
          <t>표 전체에 가는 선이 칸마다 있음</t>
        </is>
      </c>
    </row>
    <row r="10" ht="45" customHeight="1">
      <c r="A10" s="38" t="inlineStr">
        <is>
          <t>기본작업-3</t>
        </is>
      </c>
      <c r="B10" s="30" t="inlineStr">
        <is>
          <t>고급 필터</t>
        </is>
      </c>
      <c r="C10" s="30" t="inlineStr">
        <is>
          <t>조건: A15 '분류' · B15 '재고' / A16 '베어링' · B16 '&lt;=50' (같은 줄 = 그리고)
[데이터] → [고급] → '다른 장소에 복사' · 목록 범위 A3:G12 · 조건 범위 · 복사 위치 A19</t>
        </is>
      </c>
    </row>
    <row r="11" ht="22" customHeight="1">
      <c r="A11" s="38" t="inlineStr">
        <is>
          <t>계산작업</t>
        </is>
      </c>
      <c r="B11" s="30" t="inlineStr">
        <is>
          <t>1. [표1] 설비 가동 현황 → [F3:F10]</t>
        </is>
      </c>
      <c r="C11" s="39" t="inlineStr">
        <is>
          <t>=IF(E3&gt;=90%,"우수",IF(E3&gt;=80%,"보통","점검"))   (첫 칸에 넣고 끝까지 끌어내리기)</t>
        </is>
      </c>
    </row>
    <row r="12" ht="22" customHeight="1">
      <c r="A12" s="38" t="inlineStr">
        <is>
          <t>계산작업</t>
        </is>
      </c>
      <c r="B12" s="30" t="inlineStr">
        <is>
          <t>2. [표2] 부서별 수리비 → [F15:F17]</t>
        </is>
      </c>
      <c r="C12" s="39" t="inlineStr">
        <is>
          <t>=SUMIF($A$15:$A$22,E15,$C$15:$C$22)   (첫 칸에 넣고 끝까지 끌어내리기)</t>
        </is>
      </c>
    </row>
    <row r="13" ht="22" customHeight="1">
      <c r="A13" s="38" t="inlineStr">
        <is>
          <t>계산작업</t>
        </is>
      </c>
      <c r="B13" s="30" t="inlineStr">
        <is>
          <t>3. [표3] 설비 공정 구분 → [C27:C32]</t>
        </is>
      </c>
      <c r="C13" s="39" t="inlineStr">
        <is>
          <t>=VLOOKUP(LEFT(A27,2),$E$27:$F$30,2,FALSE)   (첫 칸에 넣고 끝까지 끌어내리기)</t>
        </is>
      </c>
    </row>
    <row r="14" ht="30" customHeight="1">
      <c r="A14" s="38" t="inlineStr">
        <is>
          <t>계산작업</t>
        </is>
      </c>
      <c r="B14" s="30" t="inlineStr">
        <is>
          <t>4. [표4] 점검 일정 → [C37:C42]</t>
        </is>
      </c>
      <c r="C14" s="39" t="inlineStr">
        <is>
          <t>=CHOOSE(WEEKDAY(B37,2),"월","화","수","목","금","토","일")   (첫 칸에 넣고 끝까지 끌어내리기)</t>
        </is>
      </c>
    </row>
    <row r="15" ht="22" customHeight="1">
      <c r="A15" s="38" t="inlineStr">
        <is>
          <t>계산작업</t>
        </is>
      </c>
      <c r="B15" s="30" t="inlineStr">
        <is>
          <t>5. [표5] 라인별 불량률 → [E47:E52]</t>
        </is>
      </c>
      <c r="C15" s="39" t="inlineStr">
        <is>
          <t>=RANK.EQ(D47,$D$47:$D$52,1)&amp;"위"   (첫 칸에 넣고 끝까지 끌어내리기)</t>
        </is>
      </c>
    </row>
    <row r="16" ht="90" customHeight="1">
      <c r="A16" s="38" t="inlineStr">
        <is>
          <t>분석작업-1</t>
        </is>
      </c>
      <c r="B16" s="30" t="inlineStr">
        <is>
          <t>[분석작업-1] 시트의 표에서 공정별 수리비의 합계를 계산한 뒤, 같은 공정별 작업시간의 평균을 계산하시오.</t>
        </is>
      </c>
      <c r="C16" s="30" t="inlineStr">
        <is>
          <t>표 안 아무 칸 → [데이터] → [정렬] : 정렬 기준 '공정', 오름차순
[데이터] → [부분합] : 그룹화할 항목 '공정', 함수 '합계', 계산 항목 '수리비' 만 체크 → 확인
다시 [데이터] → [부분합] : 함수 '평균', 계산 항목 '작업시간' 만 체크
'새로운 값으로 대치' 체크를 끄고 → 확인</t>
        </is>
      </c>
    </row>
    <row r="17" ht="60" customHeight="1">
      <c r="A17" s="38" t="inlineStr">
        <is>
          <t>분석작업-2</t>
        </is>
      </c>
      <c r="B17" s="30" t="inlineStr">
        <is>
          <t>[분석작업-2] 시트에서 '목표값 찾기' 로 이익[B7]이 1,000,000 이 되려면 생산량[B4]이 얼마여야 하는지 구하시오.</t>
        </is>
      </c>
      <c r="C17" s="30" t="inlineStr">
        <is>
          <t>[데이터] → [가상 분석] → [목표값 찾기]
수식 셀 B7 · 찾는 값 1000000 · 값을 바꿀 셀 B4 → 확인
B4 가 800 이 되면 [확인] 을 눌러 값을 남긴다</t>
        </is>
      </c>
    </row>
    <row r="18" ht="45" customHeight="1">
      <c r="A18" s="38" t="inlineStr">
        <is>
          <t>기타작업-1</t>
        </is>
      </c>
      <c r="B18" s="30" t="inlineStr">
        <is>
          <t>매크로 만들기 (공통 순서)</t>
        </is>
      </c>
      <c r="C18" s="30" t="inlineStr">
        <is>
          <t>[개발 도구] → [삽입] → 단추(양식 컨트롤) 또는 [삽입] → [도형] 을 그리고 → 매크로 이름 입력 → [기록]
→ 할 일을 한 번 하고 → [기록 중지] → 단추 텍스트 바꾸기.  (A1 등 엉뚱한 칸을 누르지 않도록)</t>
        </is>
      </c>
    </row>
    <row r="19" ht="22" customHeight="1">
      <c r="A19" s="38" t="inlineStr">
        <is>
          <t>기타작업-2</t>
        </is>
      </c>
      <c r="B19" s="30" t="inlineStr">
        <is>
          <t>1) 차트에 불량수 계열을 추가하시오</t>
        </is>
      </c>
      <c r="C19" s="30" t="inlineStr">
        <is>
          <t>범례에 '불량수' 가 보임</t>
        </is>
      </c>
    </row>
    <row r="20" ht="22" customHeight="1">
      <c r="A20" s="38" t="inlineStr">
        <is>
          <t>기타작업-2</t>
        </is>
      </c>
      <c r="B20" s="30" t="inlineStr">
        <is>
          <t>2) 불량수 계열을 '표식이 있는 꺾은선형' 으로 바꾸고 보조 축에 표시하시오</t>
        </is>
      </c>
      <c r="C20" s="30" t="inlineStr">
        <is>
          <t>오른쪽에 두 번째 세로축</t>
        </is>
      </c>
    </row>
    <row r="21" ht="22" customHeight="1">
      <c r="A21" s="38" t="inlineStr">
        <is>
          <t>기타작업-2</t>
        </is>
      </c>
      <c r="B21" s="30" t="inlineStr">
        <is>
          <t>3) 차트 제목을 '하반기 생산 실적' 으로 입력하시오</t>
        </is>
      </c>
      <c r="C21" s="30" t="inlineStr">
        <is>
          <t>위쪽 제목</t>
        </is>
      </c>
    </row>
    <row r="22" ht="22" customHeight="1">
      <c r="A22" s="38" t="inlineStr">
        <is>
          <t>기타작업-2</t>
        </is>
      </c>
      <c r="B22" s="30" t="inlineStr">
        <is>
          <t>4) 생산량 계열에 데이터 레이블 '값' 을 표시하시오</t>
        </is>
      </c>
      <c r="C22" s="30" t="inlineStr">
        <is>
          <t>막대 위에 숫자</t>
        </is>
      </c>
    </row>
    <row r="23" ht="22" customHeight="1">
      <c r="A23" s="38" t="inlineStr">
        <is>
          <t>기타작업-2</t>
        </is>
      </c>
      <c r="B23" s="30" t="inlineStr">
        <is>
          <t>5) 범례를 '아래쪽' 에 표시하시오</t>
        </is>
      </c>
      <c r="C23" s="30" t="inlineStr">
        <is>
          <t>범례가 차트 아래</t>
        </is>
      </c>
    </row>
  </sheetData>
  <mergeCells count="1">
    <mergeCell ref="A1:C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2026-09-28T00:39:54Z</dcterms:created>
  <dcterms:modified xmlns:dcterms="http://purl.org/dc/terms/" xmlns:xsi="http://www.w3.org/2001/XMLSchema-instance" xsi:type="dcterms:W3CDTF">2026-09-28T00:39:54Z</dcterms:modified>
</cp:coreProperties>
</file>