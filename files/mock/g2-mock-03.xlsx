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문제지" sheetId="2" state="visible" r:id="rId2"/>
    <sheet xmlns:r="http://schemas.openxmlformats.org/officeDocument/2006/relationships" name="기본작업-1" sheetId="3" state="visible" r:id="rId3"/>
    <sheet xmlns:r="http://schemas.openxmlformats.org/officeDocument/2006/relationships" name="기본작업-2" sheetId="4" state="visible" r:id="rId4"/>
    <sheet xmlns:r="http://schemas.openxmlformats.org/officeDocument/2006/relationships" name="기본작업-3" sheetId="5" state="visible" r:id="rId5"/>
    <sheet xmlns:r="http://schemas.openxmlformats.org/officeDocument/2006/relationships" name="계산작업" sheetId="6" state="visible" r:id="rId6"/>
    <sheet xmlns:r="http://schemas.openxmlformats.org/officeDocument/2006/relationships" name="분석작업-1" sheetId="7" state="visible" r:id="rId7"/>
    <sheet xmlns:r="http://schemas.openxmlformats.org/officeDocument/2006/relationships" name="분석작업-2" sheetId="8" state="visible" r:id="rId8"/>
    <sheet xmlns:r="http://schemas.openxmlformats.org/officeDocument/2006/relationships" name="기타작업-1" sheetId="9" state="visible" r:id="rId9"/>
    <sheet xmlns:r="http://schemas.openxmlformats.org/officeDocument/2006/relationships" name="기타작업-2" sheetId="10" state="visible" r:id="rId10"/>
    <sheet xmlns:r="http://schemas.openxmlformats.org/officeDocument/2006/relationships" name="채점표" sheetId="11" state="visible" r:id="rId11"/>
    <sheet xmlns:r="http://schemas.openxmlformats.org/officeDocument/2006/relationships" name="정답·해설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  <font>
      <b val="1"/>
      <color rgb="001F3864"/>
      <sz val="11"/>
    </font>
    <font>
      <i val="1"/>
      <color rgb="00A6A6A6"/>
    </font>
    <font>
      <b val="1"/>
      <color rgb="001F3864"/>
      <sz val="13"/>
    </font>
    <font>
      <b val="1"/>
      <color rgb="001F3864"/>
      <sz val="16"/>
    </font>
    <font>
      <color rgb="00806000"/>
      <sz val="10"/>
    </font>
    <font>
      <b val="1"/>
      <color rgb="00FFFFFF"/>
      <sz val="12"/>
    </font>
    <font>
      <b val="1"/>
      <color rgb="002E5C8A"/>
    </font>
    <font>
      <sz val="10.5"/>
    </font>
    <font>
      <b val="1"/>
      <color rgb="00FFFFFF"/>
      <sz val="11"/>
    </font>
    <font>
      <color rgb="007F7F7F"/>
      <sz val="9.5"/>
    </font>
    <font>
      <b val="1"/>
      <sz val="12"/>
    </font>
    <font>
      <name val="Consolas"/>
      <b val="1"/>
      <color rgb="001F4E79"/>
      <sz val="10"/>
    </font>
    <font>
      <sz val="11"/>
    </font>
    <font>
      <b val="1"/>
      <color rgb="002E5C8A"/>
      <sz val="12"/>
    </font>
  </fonts>
  <fills count="8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F8E1"/>
      </patternFill>
    </fill>
    <fill>
      <patternFill patternType="solid">
        <fgColor rgb="00DDEBF7"/>
      </patternFill>
    </fill>
    <fill>
      <patternFill patternType="solid">
        <fgColor rgb="00E7EE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7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6" borderId="1" pivotButton="0" quotePrefix="0" xfId="0"/>
    <xf numFmtId="0" fontId="11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2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4" borderId="1" pivotButton="0" quotePrefix="0" xfId="0"/>
    <xf numFmtId="0" fontId="6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4" fillId="0" borderId="0" pivotButton="0" quotePrefix="0" xfId="0"/>
    <xf numFmtId="0" fontId="1" fillId="0" borderId="0" applyAlignment="1" pivotButton="0" quotePrefix="0" xfId="0">
      <alignment horizontal="center"/>
    </xf>
    <xf numFmtId="0" fontId="15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b val="1"/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'기타작업-2'!B3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'기타작업-2'!$A$4:$A$7</f>
            </numRef>
          </cat>
          <val>
            <numRef>
              <f>'기타작업-2'!$B$4:$B$7</f>
            </numRef>
          </val>
        </ser>
        <ser>
          <idx val="1"/>
          <order val="1"/>
          <tx>
            <strRef>
              <f>'기타작업-2'!C3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'기타작업-2'!$A$4:$A$7</f>
            </numRef>
          </cat>
          <val>
            <numRef>
              <f>'기타작업-2'!$C$4:$C$7</f>
            </numRef>
          </val>
        </ser>
        <ser>
          <idx val="2"/>
          <order val="2"/>
          <tx>
            <strRef>
              <f>'기타작업-2'!D3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'기타작업-2'!$A$4:$A$7</f>
            </numRef>
          </cat>
          <val>
            <numRef>
              <f>'기타작업-2'!$D$4:$D$7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실전 모의고사 제3회 — 자재 창고</t>
        </is>
      </c>
    </row>
    <row r="3" ht="19" customHeight="1">
      <c r="B3" s="2" t="inlineStr">
        <is>
          <t>컴활 2급 실기와 같은 시트 이름 · 같은 배점입니다. 시간 40분, 70점 이상이면 합격.</t>
        </is>
      </c>
    </row>
    <row r="4" ht="24" customHeight="1">
      <c r="B4" s="3" t="inlineStr">
        <is>
          <t>순서</t>
        </is>
      </c>
    </row>
    <row r="5" ht="19" customHeight="1">
      <c r="B5" s="2" t="inlineStr">
        <is>
          <t>① [문제지] 시트에서 문제를 읽고 → 각 작업 시트(기본작업-1 …)에서 풉니다.</t>
        </is>
      </c>
    </row>
    <row r="6" ht="19" customHeight="1">
      <c r="B6" s="2" t="inlineStr">
        <is>
          <t>② 계산작업의 노란 칸에는 0 이 들어 있습니다. 0 을 지우고 첫 칸에 수식 → 끝까지 끌어내리기.</t>
        </is>
      </c>
    </row>
    <row r="7" ht="19" customHeight="1">
      <c r="B7" s="2" t="inlineStr">
        <is>
          <t>③ 다 풀었으면 [채점표] — 자동 칸은 저절로 점수가 나오고, '스스로' 칸은 [확인 방법] 을 보고 O / X 를 고릅니다.</t>
        </is>
      </c>
    </row>
    <row r="8" ht="19" customHeight="1">
      <c r="B8" s="2" t="inlineStr">
        <is>
          <t>④ 틀린 것은 [정답·해설] 에서 확인합니다.</t>
        </is>
      </c>
    </row>
    <row r="9" ht="34" customHeight="1">
      <c r="B9" s="4" t="inlineStr">
        <is>
          <t>매크로를 만들면 '다른 이름으로 저장' 에서 파일 형식을 Excel 매크로 사용 통합 문서(*.xlsm) 로 바꿔야 매크로가 남습니다.</t>
        </is>
      </c>
    </row>
    <row r="10" ht="34" customHeight="1">
      <c r="B10" s="4" t="inlineStr">
        <is>
          <t>값이 0 으로만 보이면 Ctrl + Alt + F9. 자동 채점 칸이 안 바뀌어 보일 때도 같습니다.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10" customWidth="1" min="3" max="3"/>
  </cols>
  <sheetData>
    <row r="1" ht="26" customHeight="1">
      <c r="A1" s="5" t="inlineStr">
        <is>
          <t>컴퓨터활용능력 2급 실기 · 실전 모의고사 제3회 (자재 창고)</t>
        </is>
      </c>
    </row>
    <row r="2" ht="30" customHeight="1">
      <c r="A2" s="6" t="inlineStr">
        <is>
          <t>시험 시간 40분 · 100점 만점 · 70점 이상 합격.  시작 시각을 적어 두고 시작하세요 →  시작 [      :      ]  끝 [      :      ]      다 풀면 [채점표] 시트에서 점수를 확인합니다.</t>
        </is>
      </c>
    </row>
    <row r="4" ht="22" customHeight="1">
      <c r="A4" s="7" t="inlineStr">
        <is>
          <t xml:space="preserve">  기본작업-1  ·  5점</t>
        </is>
      </c>
    </row>
    <row r="5" ht="18" customHeight="1">
      <c r="B5" s="8" t="inlineStr"/>
      <c r="C5" s="9" t="inlineStr">
        <is>
          <t>[기본작업-1] 시트에 다음 자료를 [A4] 부터 그대로 입력하시오. (날짜는 2026-03-02 처럼)</t>
        </is>
      </c>
    </row>
    <row r="6">
      <c r="C6" s="10" t="inlineStr">
        <is>
          <t>입고일  |  자재코드  |  자재명  |  창고  |  수량  |  단가</t>
        </is>
      </c>
    </row>
    <row r="7">
      <c r="C7" s="11" t="inlineStr">
        <is>
          <t>2026-09-01  |  MT-101  |  SS400 평철  |  1창고  |  120  |  3400</t>
        </is>
      </c>
    </row>
    <row r="8">
      <c r="C8" s="11" t="inlineStr">
        <is>
          <t>2026-09-01  |  EL-205  |  근접센서  |  2창고  |  40  |  18500</t>
        </is>
      </c>
    </row>
    <row r="9">
      <c r="C9" s="11" t="inlineStr">
        <is>
          <t>2026-09-02  |  PN-310  |  공압실린더  |  2창고  |  16  |  42000</t>
        </is>
      </c>
    </row>
    <row r="10">
      <c r="C10" s="11" t="inlineStr">
        <is>
          <t>2026-09-03  |  MT-102  |  SM45C 환봉  |  1창고  |  80  |  5200</t>
        </is>
      </c>
    </row>
    <row r="11">
      <c r="C11" s="11" t="inlineStr">
        <is>
          <t>2026-09-04  |  EL-206  |  릴레이 24V  |  3창고  |  150  |  2100</t>
        </is>
      </c>
    </row>
    <row r="12">
      <c r="C12" s="11" t="inlineStr">
        <is>
          <t>2026-09-07  |  BL-401  |  육각볼트 M10  |  3창고  |  900  |  120</t>
        </is>
      </c>
    </row>
    <row r="13">
      <c r="C13" s="11" t="inlineStr">
        <is>
          <t>2026-09-08  |  PN-311  |  솔레노이드밸브  |  2창고  |  24  |  35000</t>
        </is>
      </c>
    </row>
    <row r="14" ht="30" customHeight="1">
      <c r="A14" s="6" t="inlineStr">
        <is>
          <t>↑ (비움) 칸은 아무것도 입력하지 않습니다.</t>
        </is>
      </c>
    </row>
    <row r="16" ht="22" customHeight="1">
      <c r="A16" s="7" t="inlineStr">
        <is>
          <t xml:space="preserve">  기본작업-2  ·  10점</t>
        </is>
      </c>
    </row>
    <row r="17" ht="18" customHeight="1">
      <c r="B17" s="8" t="inlineStr">
        <is>
          <t>1)</t>
        </is>
      </c>
      <c r="C17" s="9" t="inlineStr">
        <is>
          <t>[A1:G1] 셀을 병합하여 가운데 맞춤, 글꼴 '궁서체' · 18pt · 굵게</t>
        </is>
      </c>
    </row>
    <row r="18" ht="18" customHeight="1">
      <c r="B18" s="8" t="inlineStr">
        <is>
          <t>2)</t>
        </is>
      </c>
      <c r="C18" s="9" t="inlineStr">
        <is>
          <t>[A3:G3] 영역은 가운데 맞춤, 글꼴 색 '흰색', 채우기 색 '진한 파랑'</t>
        </is>
      </c>
    </row>
    <row r="19" ht="18" customHeight="1">
      <c r="B19" s="8" t="inlineStr">
        <is>
          <t>3)</t>
        </is>
      </c>
      <c r="C19" s="9" t="inlineStr">
        <is>
          <t>[E4:E10] 영역에 사용자 지정 서식으로 숫자 뒤에 "EA" 표시 (예: 30EA, 0 이면 0EA)</t>
        </is>
      </c>
    </row>
    <row r="20" ht="18" customHeight="1">
      <c r="B20" s="8" t="inlineStr">
        <is>
          <t>4)</t>
        </is>
      </c>
      <c r="C20" s="9" t="inlineStr">
        <is>
          <t>[B4:B10] 영역의 이름을 '자재코드' 로 정의</t>
        </is>
      </c>
    </row>
    <row r="21" ht="18" customHeight="1">
      <c r="B21" s="8" t="inlineStr">
        <is>
          <t>5)</t>
        </is>
      </c>
      <c r="C21" s="9" t="inlineStr">
        <is>
          <t>[A3:G10] 영역에 '모든 테두리', [A10:G10] 아래쪽은 '굵은 아래쪽 테두리'</t>
        </is>
      </c>
    </row>
    <row r="22" ht="22" customHeight="1">
      <c r="A22" s="7" t="inlineStr">
        <is>
          <t xml:space="preserve">  기본작업-3  ·  5점</t>
        </is>
      </c>
    </row>
    <row r="23" ht="48" customHeight="1">
      <c r="B23" s="8" t="inlineStr"/>
      <c r="C23" s="9" t="inlineStr">
        <is>
          <t>[A3:G12] 영역에서 창고가 '2창고' 이거나 금액이 500,000 이상인 행만 고급 필터로 추출하시오.
· 조건은 [A15] 부터 입력  · 결과는 [A19] 부터 표시</t>
        </is>
      </c>
    </row>
    <row r="24" ht="22" customHeight="1">
      <c r="A24" s="7" t="inlineStr">
        <is>
          <t xml:space="preserve">  계산작업  ·  40점 (각 8점)</t>
        </is>
      </c>
    </row>
    <row r="25" ht="32" customHeight="1">
      <c r="B25" s="8" t="inlineStr">
        <is>
          <t>1.</t>
        </is>
      </c>
      <c r="C25" s="9" t="inlineStr">
        <is>
          <t>[표1]에서 재고[C3:C10]가 안전재고[D3:D10] 미만이면 "발주", 안전재고의 1.5배 미만이면 "주의", 그 외는 "정상" 을 상태[E3:E10]에 표시하시오. → [E3:E10]  (IF 함수 사용)</t>
        </is>
      </c>
    </row>
    <row r="26" ht="32" customHeight="1">
      <c r="B26" s="8" t="inlineStr">
        <is>
          <t>2.</t>
        </is>
      </c>
      <c r="C26" s="9" t="inlineStr">
        <is>
          <t>[표2]에서 자재코드[B15:B20]로 단가표[F15:G18]에서 단가를 찾아 수량[C15:C20]을 곱한 금액[D15:D20]을 구하시오. (INDEX 와 MATCH 사용) → [D15:D20]  (INDEX, MATCH 함수 사용)</t>
        </is>
      </c>
    </row>
    <row r="27" ht="32" customHeight="1">
      <c r="B27" s="8" t="inlineStr">
        <is>
          <t>3.</t>
        </is>
      </c>
      <c r="C27" s="9" t="inlineStr">
        <is>
          <t>[표3]에서 분류[B25:B34]별 품목 수가 전체 품목 수에서 차지하는 비율을 비율[E25:E27]에 구하시오. (분류 이름은 D열, 전체는 COUNTA 로) → [E25:E27]  (COUNTIF, COUNTA 함수 사용)</t>
        </is>
      </c>
    </row>
    <row r="28" ht="32" customHeight="1">
      <c r="B28" s="8" t="inlineStr">
        <is>
          <t>4.</t>
        </is>
      </c>
      <c r="C28" s="9" t="inlineStr">
        <is>
          <t>[표4]에서 기준일(E열 첫 칸)의 연도에서 도입일[B39:B44]의 연도를 빼고 뒤에 "년" 을 붙여 사용 연수[C39:C44]에 표시하시오. (예: 14년) → [C39:C44]  (YEAR 함수, &amp; 연산자 사용)</t>
        </is>
      </c>
    </row>
    <row r="29" ht="18" customHeight="1">
      <c r="B29" s="8" t="inlineStr">
        <is>
          <t>5.</t>
        </is>
      </c>
      <c r="C29" s="9" t="inlineStr">
        <is>
          <t>[표5]에서 창고가 "2창고" 이면서 수량이 20 이상인 자재의 수량 합계를 오른쪽 조건표(E·F열)를 이용하여 구하시오. → [G49]  (DSUM 함수 사용)</t>
        </is>
      </c>
    </row>
    <row r="30" ht="22" customHeight="1">
      <c r="A30" s="7" t="inlineStr">
        <is>
          <t xml:space="preserve">  분석작업-1  ·  10점</t>
        </is>
      </c>
    </row>
    <row r="31" ht="64" customHeight="1">
      <c r="B31" s="8" t="inlineStr"/>
      <c r="C31" s="9" t="inlineStr">
        <is>
          <t>[분석작업-1] 시트에서 할인율[B4]에 따른 이익[B8]의 변화를 시나리오로 만드시오.
· 셀 이름: B4 '할인율', B8 '이익'  · 시나리오 '할인확대' 할인율 15% / '할인축소' 할인율 5%
· 시나리오 요약 보고서는 '분석작업-1' 시트 바로 앞에 만든다</t>
        </is>
      </c>
    </row>
    <row r="32" ht="22" customHeight="1">
      <c r="A32" s="7" t="inlineStr">
        <is>
          <t xml:space="preserve">  분석작업-2  ·  10점</t>
        </is>
      </c>
    </row>
    <row r="33" ht="18" customHeight="1">
      <c r="B33" s="8" t="inlineStr"/>
      <c r="C33" s="9" t="inlineStr">
        <is>
          <t>[분석작업-2] 시트의 [A3:F15] 표를 창고의 오름차순으로, 창고가 같으면 수량의 내림차순으로 정렬하시오.</t>
        </is>
      </c>
    </row>
    <row r="34" ht="22" customHeight="1">
      <c r="A34" s="7" t="inlineStr">
        <is>
          <t xml:space="preserve">  기타작업-1  ·  10점</t>
        </is>
      </c>
    </row>
    <row r="35" ht="18" customHeight="1">
      <c r="B35" s="8" t="inlineStr"/>
      <c r="C35" s="9" t="inlineStr">
        <is>
          <t>[기타작업-1] 시트에서 다음 두 매크로를 만들고 단추에 연결하시오.  (저장은 .xlsm 형식)</t>
        </is>
      </c>
    </row>
    <row r="36" ht="18" customHeight="1">
      <c r="B36" s="8" t="inlineStr">
        <is>
          <t>1)</t>
        </is>
      </c>
      <c r="C36" s="9" t="inlineStr">
        <is>
          <t>[F4:F10] 에 금액(수량×단가)을 구하는 '금액' 매크로 — [H3] 위치 단추(텍스트 '금액')에 연결</t>
        </is>
      </c>
    </row>
    <row r="37" ht="18" customHeight="1">
      <c r="B37" s="8" t="inlineStr">
        <is>
          <t>2)</t>
        </is>
      </c>
      <c r="C37" s="9" t="inlineStr">
        <is>
          <t>[F4:F10] 에 쉼표 스타일(,)을 적용하는 '쉼표' 매크로 — [H6] 위치 단추(텍스트 '쉼표')에 연결</t>
        </is>
      </c>
    </row>
    <row r="38" ht="22" customHeight="1">
      <c r="A38" s="7" t="inlineStr">
        <is>
          <t xml:space="preserve">  기타작업-2  ·  10점 (각 2점)</t>
        </is>
      </c>
    </row>
    <row r="39" ht="18" customHeight="1">
      <c r="B39" s="8" t="inlineStr"/>
      <c r="C39" s="9" t="inlineStr">
        <is>
          <t>[기타작업-2] 시트의 차트(묶은 세로 막대 · 입고·출고·재고)를 다음과 같이 고치시오.</t>
        </is>
      </c>
    </row>
    <row r="40" ht="18" customHeight="1">
      <c r="B40" s="8" t="inlineStr">
        <is>
          <t>1)</t>
        </is>
      </c>
      <c r="C40" s="9" t="inlineStr">
        <is>
          <t>'3창고' 데이터를 차트에서 제외하시오</t>
        </is>
      </c>
    </row>
    <row r="41" ht="18" customHeight="1">
      <c r="B41" s="8" t="inlineStr">
        <is>
          <t>2)</t>
        </is>
      </c>
      <c r="C41" s="9" t="inlineStr">
        <is>
          <t>'재고' 계열을 삭제하시오</t>
        </is>
      </c>
    </row>
    <row r="42" ht="18" customHeight="1">
      <c r="B42" s="8" t="inlineStr">
        <is>
          <t>3)</t>
        </is>
      </c>
      <c r="C42" s="9" t="inlineStr">
        <is>
          <t>차트 제목 '창고별 입출고' · 글꼴 크기 14 · 굵게</t>
        </is>
      </c>
    </row>
    <row r="43" ht="18" customHeight="1">
      <c r="B43" s="8" t="inlineStr">
        <is>
          <t>4)</t>
        </is>
      </c>
      <c r="C43" s="9" t="inlineStr">
        <is>
          <t>세로(값) 축 제목 '수량(EA)' 을 '세로 제목' 으로 추가하시오</t>
        </is>
      </c>
    </row>
    <row r="44" ht="18" customHeight="1">
      <c r="B44" s="8" t="inlineStr">
        <is>
          <t>5)</t>
        </is>
      </c>
      <c r="C44" s="9" t="inlineStr">
        <is>
          <t>'출고' 계열에 '안쪽 끝에' 데이터 레이블을 표시하시오</t>
        </is>
      </c>
    </row>
  </sheetData>
  <mergeCells count="11">
    <mergeCell ref="A1:C1"/>
    <mergeCell ref="A16:C16"/>
    <mergeCell ref="A32:C32"/>
    <mergeCell ref="A14:C14"/>
    <mergeCell ref="A22:C22"/>
    <mergeCell ref="A38:C38"/>
    <mergeCell ref="A30:C30"/>
    <mergeCell ref="A34:C34"/>
    <mergeCell ref="A4:C4"/>
    <mergeCell ref="A24:C24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 ht="26" customHeight="1">
      <c r="A1" s="12" t="inlineStr">
        <is>
          <t>자재 입고 대장</t>
        </is>
      </c>
    </row>
    <row r="3">
      <c r="A3" s="13" t="inlineStr">
        <is>
          <t>입고일</t>
        </is>
      </c>
      <c r="B3" s="13" t="inlineStr">
        <is>
          <t>자재코드</t>
        </is>
      </c>
      <c r="C3" s="13" t="inlineStr">
        <is>
          <t>자재명</t>
        </is>
      </c>
      <c r="D3" s="13" t="inlineStr">
        <is>
          <t>창고</t>
        </is>
      </c>
      <c r="E3" s="13" t="inlineStr">
        <is>
          <t>수량</t>
        </is>
      </c>
      <c r="F3" s="13" t="inlineStr">
        <is>
          <t>단가</t>
        </is>
      </c>
    </row>
    <row r="4">
      <c r="A4" s="14" t="n"/>
      <c r="B4" s="14" t="n"/>
      <c r="C4" s="14" t="n"/>
      <c r="D4" s="14" t="n"/>
      <c r="E4" s="14" t="n"/>
      <c r="F4" s="14" t="n"/>
    </row>
    <row r="5">
      <c r="A5" s="14" t="n"/>
      <c r="B5" s="14" t="n"/>
      <c r="C5" s="14" t="n"/>
      <c r="D5" s="14" t="n"/>
      <c r="E5" s="14" t="n"/>
      <c r="F5" s="14" t="n"/>
    </row>
    <row r="6">
      <c r="A6" s="14" t="n"/>
      <c r="B6" s="14" t="n"/>
      <c r="C6" s="14" t="n"/>
      <c r="D6" s="14" t="n"/>
      <c r="E6" s="14" t="n"/>
      <c r="F6" s="14" t="n"/>
    </row>
    <row r="7">
      <c r="A7" s="14" t="n"/>
      <c r="B7" s="14" t="n"/>
      <c r="C7" s="14" t="n"/>
      <c r="D7" s="14" t="n"/>
      <c r="E7" s="14" t="n"/>
      <c r="F7" s="14" t="n"/>
    </row>
    <row r="8">
      <c r="A8" s="14" t="n"/>
      <c r="B8" s="14" t="n"/>
      <c r="C8" s="14" t="n"/>
      <c r="D8" s="14" t="n"/>
      <c r="E8" s="14" t="n"/>
      <c r="F8" s="14" t="n"/>
    </row>
    <row r="9">
      <c r="A9" s="14" t="n"/>
      <c r="B9" s="14" t="n"/>
      <c r="C9" s="14" t="n"/>
      <c r="D9" s="14" t="n"/>
      <c r="E9" s="14" t="n"/>
      <c r="F9" s="14" t="n"/>
    </row>
    <row r="10">
      <c r="A10" s="14" t="n"/>
      <c r="B10" s="14" t="n"/>
      <c r="C10" s="14" t="n"/>
      <c r="D10" s="14" t="n"/>
      <c r="E10" s="14" t="n"/>
      <c r="F10" s="14" t="n"/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2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자재 출고 현황</t>
        </is>
      </c>
    </row>
    <row r="3">
      <c r="A3" s="15" t="inlineStr">
        <is>
          <t>출고일</t>
        </is>
      </c>
      <c r="B3" s="15" t="inlineStr">
        <is>
          <t>자재코드</t>
        </is>
      </c>
      <c r="C3" s="15" t="inlineStr">
        <is>
          <t>자재명</t>
        </is>
      </c>
      <c r="D3" s="15" t="inlineStr">
        <is>
          <t>창고</t>
        </is>
      </c>
      <c r="E3" s="15" t="inlineStr">
        <is>
          <t>수량</t>
        </is>
      </c>
      <c r="F3" s="15" t="inlineStr">
        <is>
          <t>단가</t>
        </is>
      </c>
      <c r="G3" s="15" t="inlineStr">
        <is>
          <t>금액</t>
        </is>
      </c>
    </row>
    <row r="4">
      <c r="A4" s="16" t="n">
        <v>46275</v>
      </c>
      <c r="B4" t="inlineStr">
        <is>
          <t>MT-101</t>
        </is>
      </c>
      <c r="C4" t="inlineStr">
        <is>
          <t>SS400 평철</t>
        </is>
      </c>
      <c r="D4" t="inlineStr">
        <is>
          <t>1창고</t>
        </is>
      </c>
      <c r="E4" t="n">
        <v>30</v>
      </c>
      <c r="F4" t="n">
        <v>3400</v>
      </c>
      <c r="G4">
        <f>E4*F4</f>
        <v/>
      </c>
    </row>
    <row r="5">
      <c r="A5" s="16" t="n">
        <v>46275</v>
      </c>
      <c r="B5" t="inlineStr">
        <is>
          <t>EL-205</t>
        </is>
      </c>
      <c r="C5" t="inlineStr">
        <is>
          <t>근접센서</t>
        </is>
      </c>
      <c r="D5" t="inlineStr">
        <is>
          <t>2창고</t>
        </is>
      </c>
      <c r="E5" t="n">
        <v>8</v>
      </c>
      <c r="F5" t="n">
        <v>18500</v>
      </c>
      <c r="G5">
        <f>E5*F5</f>
        <v/>
      </c>
    </row>
    <row r="6">
      <c r="A6" s="16" t="n">
        <v>46276</v>
      </c>
      <c r="B6" t="inlineStr">
        <is>
          <t>BL-401</t>
        </is>
      </c>
      <c r="C6" t="inlineStr">
        <is>
          <t>육각볼트 M10</t>
        </is>
      </c>
      <c r="D6" t="inlineStr">
        <is>
          <t>3창고</t>
        </is>
      </c>
      <c r="E6" t="n">
        <v>200</v>
      </c>
      <c r="F6" t="n">
        <v>120</v>
      </c>
      <c r="G6">
        <f>E6*F6</f>
        <v/>
      </c>
    </row>
    <row r="7">
      <c r="A7" s="16" t="n">
        <v>46277</v>
      </c>
      <c r="B7" t="inlineStr">
        <is>
          <t>PN-310</t>
        </is>
      </c>
      <c r="C7" t="inlineStr">
        <is>
          <t>공압실린더</t>
        </is>
      </c>
      <c r="D7" t="inlineStr">
        <is>
          <t>2창고</t>
        </is>
      </c>
      <c r="E7" t="n">
        <v>4</v>
      </c>
      <c r="F7" t="n">
        <v>42000</v>
      </c>
      <c r="G7">
        <f>E7*F7</f>
        <v/>
      </c>
    </row>
    <row r="8">
      <c r="A8" s="16" t="n">
        <v>46279</v>
      </c>
      <c r="B8" t="inlineStr">
        <is>
          <t>MT-102</t>
        </is>
      </c>
      <c r="C8" t="inlineStr">
        <is>
          <t>SM45C 환봉</t>
        </is>
      </c>
      <c r="D8" t="inlineStr">
        <is>
          <t>1창고</t>
        </is>
      </c>
      <c r="E8" t="n">
        <v>25</v>
      </c>
      <c r="F8" t="n">
        <v>5200</v>
      </c>
      <c r="G8">
        <f>E8*F8</f>
        <v/>
      </c>
    </row>
    <row r="9">
      <c r="A9" s="16" t="n">
        <v>46280</v>
      </c>
      <c r="B9" t="inlineStr">
        <is>
          <t>EL-206</t>
        </is>
      </c>
      <c r="C9" t="inlineStr">
        <is>
          <t>릴레이 24V</t>
        </is>
      </c>
      <c r="D9" t="inlineStr">
        <is>
          <t>3창고</t>
        </is>
      </c>
      <c r="E9" t="n">
        <v>60</v>
      </c>
      <c r="F9" t="n">
        <v>2100</v>
      </c>
      <c r="G9">
        <f>E9*F9</f>
        <v/>
      </c>
    </row>
    <row r="10">
      <c r="A10" s="16" t="n">
        <v>46281</v>
      </c>
      <c r="B10" t="inlineStr">
        <is>
          <t>PN-311</t>
        </is>
      </c>
      <c r="C10" t="inlineStr">
        <is>
          <t>솔레노이드밸브</t>
        </is>
      </c>
      <c r="D10" t="inlineStr">
        <is>
          <t>2창고</t>
        </is>
      </c>
      <c r="E10" t="n">
        <v>6</v>
      </c>
      <c r="F10" t="n">
        <v>35000</v>
      </c>
      <c r="G10">
        <f>E10*F10</f>
        <v/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12" customWidth="1" min="4" max="4"/>
    <col width="10" customWidth="1" min="5" max="5"/>
    <col width="10" customWidth="1" min="6" max="6"/>
    <col width="13" customWidth="1" min="7" max="7"/>
  </cols>
  <sheetData>
    <row r="1" ht="26" customHeight="1">
      <c r="A1" s="12" t="inlineStr">
        <is>
          <t>고급 필터</t>
        </is>
      </c>
    </row>
    <row r="3">
      <c r="A3" s="13" t="inlineStr">
        <is>
          <t>출고일</t>
        </is>
      </c>
      <c r="B3" s="13" t="inlineStr">
        <is>
          <t>자재코드</t>
        </is>
      </c>
      <c r="C3" s="13" t="inlineStr">
        <is>
          <t>자재명</t>
        </is>
      </c>
      <c r="D3" s="13" t="inlineStr">
        <is>
          <t>창고</t>
        </is>
      </c>
      <c r="E3" s="13" t="inlineStr">
        <is>
          <t>수량</t>
        </is>
      </c>
      <c r="F3" s="13" t="inlineStr">
        <is>
          <t>단가</t>
        </is>
      </c>
      <c r="G3" s="13" t="inlineStr">
        <is>
          <t>금액</t>
        </is>
      </c>
    </row>
    <row r="4">
      <c r="A4" s="17" t="n">
        <v>46275</v>
      </c>
      <c r="B4" s="18" t="inlineStr">
        <is>
          <t>MT-101</t>
        </is>
      </c>
      <c r="C4" s="18" t="inlineStr">
        <is>
          <t>SS400 평철</t>
        </is>
      </c>
      <c r="D4" s="18" t="inlineStr">
        <is>
          <t>1창고</t>
        </is>
      </c>
      <c r="E4" s="18" t="n">
        <v>30</v>
      </c>
      <c r="F4" s="19" t="n">
        <v>3400</v>
      </c>
      <c r="G4" s="19" t="n">
        <v>102000</v>
      </c>
    </row>
    <row r="5">
      <c r="A5" s="17" t="n">
        <v>46275</v>
      </c>
      <c r="B5" s="18" t="inlineStr">
        <is>
          <t>EL-205</t>
        </is>
      </c>
      <c r="C5" s="18" t="inlineStr">
        <is>
          <t>근접센서</t>
        </is>
      </c>
      <c r="D5" s="18" t="inlineStr">
        <is>
          <t>2창고</t>
        </is>
      </c>
      <c r="E5" s="18" t="n">
        <v>8</v>
      </c>
      <c r="F5" s="19" t="n">
        <v>18500</v>
      </c>
      <c r="G5" s="19" t="n">
        <v>148000</v>
      </c>
    </row>
    <row r="6">
      <c r="A6" s="17" t="n">
        <v>46276</v>
      </c>
      <c r="B6" s="18" t="inlineStr">
        <is>
          <t>BL-401</t>
        </is>
      </c>
      <c r="C6" s="18" t="inlineStr">
        <is>
          <t>육각볼트 M10</t>
        </is>
      </c>
      <c r="D6" s="18" t="inlineStr">
        <is>
          <t>3창고</t>
        </is>
      </c>
      <c r="E6" s="18" t="n">
        <v>200</v>
      </c>
      <c r="F6" s="19" t="n">
        <v>120</v>
      </c>
      <c r="G6" s="19" t="n">
        <v>24000</v>
      </c>
    </row>
    <row r="7">
      <c r="A7" s="17" t="n">
        <v>46277</v>
      </c>
      <c r="B7" s="18" t="inlineStr">
        <is>
          <t>PN-310</t>
        </is>
      </c>
      <c r="C7" s="18" t="inlineStr">
        <is>
          <t>공압실린더</t>
        </is>
      </c>
      <c r="D7" s="18" t="inlineStr">
        <is>
          <t>2창고</t>
        </is>
      </c>
      <c r="E7" s="18" t="n">
        <v>4</v>
      </c>
      <c r="F7" s="19" t="n">
        <v>42000</v>
      </c>
      <c r="G7" s="19" t="n">
        <v>168000</v>
      </c>
    </row>
    <row r="8">
      <c r="A8" s="17" t="n">
        <v>46279</v>
      </c>
      <c r="B8" s="18" t="inlineStr">
        <is>
          <t>MT-102</t>
        </is>
      </c>
      <c r="C8" s="18" t="inlineStr">
        <is>
          <t>SM45C 환봉</t>
        </is>
      </c>
      <c r="D8" s="18" t="inlineStr">
        <is>
          <t>1창고</t>
        </is>
      </c>
      <c r="E8" s="18" t="n">
        <v>120</v>
      </c>
      <c r="F8" s="19" t="n">
        <v>5200</v>
      </c>
      <c r="G8" s="19" t="n">
        <v>624000</v>
      </c>
    </row>
    <row r="9">
      <c r="A9" s="17" t="n">
        <v>46280</v>
      </c>
      <c r="B9" s="18" t="inlineStr">
        <is>
          <t>EL-206</t>
        </is>
      </c>
      <c r="C9" s="18" t="inlineStr">
        <is>
          <t>릴레이 24V</t>
        </is>
      </c>
      <c r="D9" s="18" t="inlineStr">
        <is>
          <t>3창고</t>
        </is>
      </c>
      <c r="E9" s="18" t="n">
        <v>60</v>
      </c>
      <c r="F9" s="19" t="n">
        <v>2100</v>
      </c>
      <c r="G9" s="19" t="n">
        <v>126000</v>
      </c>
    </row>
    <row r="10">
      <c r="A10" s="17" t="n">
        <v>46281</v>
      </c>
      <c r="B10" s="18" t="inlineStr">
        <is>
          <t>PN-311</t>
        </is>
      </c>
      <c r="C10" s="18" t="inlineStr">
        <is>
          <t>솔레노이드밸브</t>
        </is>
      </c>
      <c r="D10" s="18" t="inlineStr">
        <is>
          <t>2창고</t>
        </is>
      </c>
      <c r="E10" s="18" t="n">
        <v>6</v>
      </c>
      <c r="F10" s="19" t="n">
        <v>35000</v>
      </c>
      <c r="G10" s="19" t="n">
        <v>210000</v>
      </c>
    </row>
    <row r="11">
      <c r="A11" s="17" t="n">
        <v>46282</v>
      </c>
      <c r="B11" s="18" t="inlineStr">
        <is>
          <t>MT-103</t>
        </is>
      </c>
      <c r="C11" s="18" t="inlineStr">
        <is>
          <t>알루미늄 판재</t>
        </is>
      </c>
      <c r="D11" s="18" t="inlineStr">
        <is>
          <t>1창고</t>
        </is>
      </c>
      <c r="E11" s="18" t="n">
        <v>45</v>
      </c>
      <c r="F11" s="19" t="n">
        <v>9800</v>
      </c>
      <c r="G11" s="19" t="n">
        <v>441000</v>
      </c>
    </row>
    <row r="12">
      <c r="A12" s="17" t="n">
        <v>46283</v>
      </c>
      <c r="B12" s="18" t="inlineStr">
        <is>
          <t>EL-207</t>
        </is>
      </c>
      <c r="C12" s="18" t="inlineStr">
        <is>
          <t>서보모터</t>
        </is>
      </c>
      <c r="D12" s="18" t="inlineStr">
        <is>
          <t>3창고</t>
        </is>
      </c>
      <c r="E12" s="18" t="n">
        <v>3</v>
      </c>
      <c r="F12" s="19" t="n">
        <v>185000</v>
      </c>
      <c r="G12" s="19" t="n">
        <v>555000</v>
      </c>
    </row>
  </sheetData>
  <mergeCells count="1"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5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hidden="1" width="13" customWidth="1" min="27" max="27"/>
    <col hidden="1" width="13" customWidth="1" min="28" max="28"/>
  </cols>
  <sheetData>
    <row r="1">
      <c r="A1" s="20" t="inlineStr">
        <is>
          <t>[표1] 재고 상태</t>
        </is>
      </c>
    </row>
    <row r="2">
      <c r="A2" s="13" t="inlineStr">
        <is>
          <t>자재코드</t>
        </is>
      </c>
      <c r="B2" s="13" t="inlineStr">
        <is>
          <t>자재명</t>
        </is>
      </c>
      <c r="C2" s="13" t="inlineStr">
        <is>
          <t>재고</t>
        </is>
      </c>
      <c r="D2" s="13" t="inlineStr">
        <is>
          <t>안전재고</t>
        </is>
      </c>
      <c r="E2" s="13" t="inlineStr">
        <is>
          <t>상태</t>
        </is>
      </c>
    </row>
    <row r="3">
      <c r="A3" s="18" t="inlineStr">
        <is>
          <t>MT-101</t>
        </is>
      </c>
      <c r="B3" s="18" t="inlineStr">
        <is>
          <t>SS400 평철</t>
        </is>
      </c>
      <c r="C3" s="18" t="n">
        <v>90</v>
      </c>
      <c r="D3" s="18" t="n">
        <v>60</v>
      </c>
      <c r="E3" s="21" t="n">
        <v>0</v>
      </c>
      <c r="AA3">
        <f>IF(C3&lt;D3,"발주",IF(C3&lt;D3*1.5,"주의","정상"))</f>
        <v/>
      </c>
      <c r="AB3">
        <f>AND(_xlfn.ISFORMULA(E3),IFERROR(ROUND(E3,4)=ROUND(AA3,4),EXACT(E3,AA3)))</f>
        <v/>
      </c>
    </row>
    <row r="4">
      <c r="A4" s="18" t="inlineStr">
        <is>
          <t>EL-205</t>
        </is>
      </c>
      <c r="B4" s="18" t="inlineStr">
        <is>
          <t>근접센서</t>
        </is>
      </c>
      <c r="C4" s="18" t="n">
        <v>30</v>
      </c>
      <c r="D4" s="18" t="n">
        <v>20</v>
      </c>
      <c r="E4" s="21" t="n">
        <v>0</v>
      </c>
      <c r="AA4">
        <f>IF(C4&lt;D4,"발주",IF(C4&lt;D4*1.5,"주의","정상"))</f>
        <v/>
      </c>
      <c r="AB4">
        <f>AND(_xlfn.ISFORMULA(E4),IFERROR(ROUND(E4,4)=ROUND(AA4,4),EXACT(E4,AA4)))</f>
        <v/>
      </c>
    </row>
    <row r="5">
      <c r="A5" s="18" t="inlineStr">
        <is>
          <t>PN-310</t>
        </is>
      </c>
      <c r="B5" s="18" t="inlineStr">
        <is>
          <t>공압실린더</t>
        </is>
      </c>
      <c r="C5" s="18" t="n">
        <v>12</v>
      </c>
      <c r="D5" s="18" t="n">
        <v>10</v>
      </c>
      <c r="E5" s="21" t="n">
        <v>0</v>
      </c>
      <c r="AA5">
        <f>IF(C5&lt;D5,"발주",IF(C5&lt;D5*1.5,"주의","정상"))</f>
        <v/>
      </c>
      <c r="AB5">
        <f>AND(_xlfn.ISFORMULA(E5),IFERROR(ROUND(E5,4)=ROUND(AA5,4),EXACT(E5,AA5)))</f>
        <v/>
      </c>
    </row>
    <row r="6">
      <c r="A6" s="18" t="inlineStr">
        <is>
          <t>MT-102</t>
        </is>
      </c>
      <c r="B6" s="18" t="inlineStr">
        <is>
          <t>SM45C 환봉</t>
        </is>
      </c>
      <c r="C6" s="18" t="n">
        <v>55</v>
      </c>
      <c r="D6" s="18" t="n">
        <v>60</v>
      </c>
      <c r="E6" s="21" t="n">
        <v>0</v>
      </c>
      <c r="AA6">
        <f>IF(C6&lt;D6,"발주",IF(C6&lt;D6*1.5,"주의","정상"))</f>
        <v/>
      </c>
      <c r="AB6">
        <f>AND(_xlfn.ISFORMULA(E6),IFERROR(ROUND(E6,4)=ROUND(AA6,4),EXACT(E6,AA6)))</f>
        <v/>
      </c>
    </row>
    <row r="7">
      <c r="A7" s="18" t="inlineStr">
        <is>
          <t>EL-206</t>
        </is>
      </c>
      <c r="B7" s="18" t="inlineStr">
        <is>
          <t>릴레이 24V</t>
        </is>
      </c>
      <c r="C7" s="18" t="n">
        <v>150</v>
      </c>
      <c r="D7" s="18" t="n">
        <v>100</v>
      </c>
      <c r="E7" s="21" t="n">
        <v>0</v>
      </c>
      <c r="AA7">
        <f>IF(C7&lt;D7,"발주",IF(C7&lt;D7*1.5,"주의","정상"))</f>
        <v/>
      </c>
      <c r="AB7">
        <f>AND(_xlfn.ISFORMULA(E7),IFERROR(ROUND(E7,4)=ROUND(AA7,4),EXACT(E7,AA7)))</f>
        <v/>
      </c>
    </row>
    <row r="8">
      <c r="A8" s="18" t="inlineStr">
        <is>
          <t>BL-401</t>
        </is>
      </c>
      <c r="B8" s="18" t="inlineStr">
        <is>
          <t>육각볼트</t>
        </is>
      </c>
      <c r="C8" s="18" t="n">
        <v>700</v>
      </c>
      <c r="D8" s="18" t="n">
        <v>500</v>
      </c>
      <c r="E8" s="21" t="n">
        <v>0</v>
      </c>
      <c r="AA8">
        <f>IF(C8&lt;D8,"발주",IF(C8&lt;D8*1.5,"주의","정상"))</f>
        <v/>
      </c>
      <c r="AB8">
        <f>AND(_xlfn.ISFORMULA(E8),IFERROR(ROUND(E8,4)=ROUND(AA8,4),EXACT(E8,AA8)))</f>
        <v/>
      </c>
    </row>
    <row r="9">
      <c r="A9" s="18" t="inlineStr">
        <is>
          <t>PN-311</t>
        </is>
      </c>
      <c r="B9" s="18" t="inlineStr">
        <is>
          <t>솔레노이드밸브</t>
        </is>
      </c>
      <c r="C9" s="18" t="n">
        <v>18</v>
      </c>
      <c r="D9" s="18" t="n">
        <v>12</v>
      </c>
      <c r="E9" s="21" t="n">
        <v>0</v>
      </c>
      <c r="AA9">
        <f>IF(C9&lt;D9,"발주",IF(C9&lt;D9*1.5,"주의","정상"))</f>
        <v/>
      </c>
      <c r="AB9">
        <f>AND(_xlfn.ISFORMULA(E9),IFERROR(ROUND(E9,4)=ROUND(AA9,4),EXACT(E9,AA9)))</f>
        <v/>
      </c>
    </row>
    <row r="10">
      <c r="A10" s="18" t="inlineStr">
        <is>
          <t>MT-103</t>
        </is>
      </c>
      <c r="B10" s="18" t="inlineStr">
        <is>
          <t>알루미늄 판재</t>
        </is>
      </c>
      <c r="C10" s="18" t="n">
        <v>9</v>
      </c>
      <c r="D10" s="18" t="n">
        <v>10</v>
      </c>
      <c r="E10" s="21" t="n">
        <v>0</v>
      </c>
      <c r="AA10">
        <f>IF(C10&lt;D10,"발주",IF(C10&lt;D10*1.5,"주의","정상"))</f>
        <v/>
      </c>
      <c r="AB10">
        <f>AND(_xlfn.ISFORMULA(E10),IFERROR(ROUND(E10,4)=ROUND(AA10,4),EXACT(E10,AA10)))</f>
        <v/>
      </c>
    </row>
    <row r="13">
      <c r="A13" s="20" t="inlineStr">
        <is>
          <t>[표2] 출고 금액</t>
        </is>
      </c>
    </row>
    <row r="14">
      <c r="A14" s="13" t="inlineStr">
        <is>
          <t>출고번호</t>
        </is>
      </c>
      <c r="B14" s="13" t="inlineStr">
        <is>
          <t>자재코드</t>
        </is>
      </c>
      <c r="C14" s="13" t="inlineStr">
        <is>
          <t>수량</t>
        </is>
      </c>
      <c r="D14" s="13" t="inlineStr">
        <is>
          <t>금액</t>
        </is>
      </c>
      <c r="E14" s="13" t="inlineStr"/>
      <c r="F14" s="13" t="inlineStr">
        <is>
          <t>자재코드</t>
        </is>
      </c>
      <c r="G14" s="13" t="inlineStr">
        <is>
          <t>단가</t>
        </is>
      </c>
    </row>
    <row r="15">
      <c r="A15" s="18" t="inlineStr">
        <is>
          <t>OUT-01</t>
        </is>
      </c>
      <c r="B15" s="18" t="inlineStr">
        <is>
          <t>EL-205</t>
        </is>
      </c>
      <c r="C15" s="18" t="n">
        <v>8</v>
      </c>
      <c r="D15" s="22" t="n">
        <v>0</v>
      </c>
      <c r="E15" s="23" t="n"/>
      <c r="F15" s="18" t="inlineStr">
        <is>
          <t>MT-101</t>
        </is>
      </c>
      <c r="G15" s="18" t="n">
        <v>3400</v>
      </c>
      <c r="AA15">
        <f>INDEX($G$15:$G$18,MATCH(B15,$F$15:$F$18,0))*C15</f>
        <v/>
      </c>
      <c r="AB15">
        <f>AND(_xlfn.ISFORMULA(D15),IFERROR(ROUND(D15,4)=ROUND(AA15,4),EXACT(D15,AA15)))</f>
        <v/>
      </c>
    </row>
    <row r="16">
      <c r="A16" s="18" t="inlineStr">
        <is>
          <t>OUT-02</t>
        </is>
      </c>
      <c r="B16" s="18" t="inlineStr">
        <is>
          <t>MT-101</t>
        </is>
      </c>
      <c r="C16" s="18" t="n">
        <v>30</v>
      </c>
      <c r="D16" s="22" t="n">
        <v>0</v>
      </c>
      <c r="E16" s="23" t="n"/>
      <c r="F16" s="18" t="inlineStr">
        <is>
          <t>EL-205</t>
        </is>
      </c>
      <c r="G16" s="18" t="n">
        <v>18500</v>
      </c>
      <c r="AA16">
        <f>INDEX($G$15:$G$18,MATCH(B16,$F$15:$F$18,0))*C16</f>
        <v/>
      </c>
      <c r="AB16">
        <f>AND(_xlfn.ISFORMULA(D16),IFERROR(ROUND(D16,4)=ROUND(AA16,4),EXACT(D16,AA16)))</f>
        <v/>
      </c>
    </row>
    <row r="17">
      <c r="A17" s="18" t="inlineStr">
        <is>
          <t>OUT-03</t>
        </is>
      </c>
      <c r="B17" s="18" t="inlineStr">
        <is>
          <t>PN-310</t>
        </is>
      </c>
      <c r="C17" s="18" t="n">
        <v>4</v>
      </c>
      <c r="D17" s="22" t="n">
        <v>0</v>
      </c>
      <c r="E17" s="23" t="n"/>
      <c r="F17" s="18" t="inlineStr">
        <is>
          <t>PN-310</t>
        </is>
      </c>
      <c r="G17" s="18" t="n">
        <v>42000</v>
      </c>
      <c r="AA17">
        <f>INDEX($G$15:$G$18,MATCH(B17,$F$15:$F$18,0))*C17</f>
        <v/>
      </c>
      <c r="AB17">
        <f>AND(_xlfn.ISFORMULA(D17),IFERROR(ROUND(D17,4)=ROUND(AA17,4),EXACT(D17,AA17)))</f>
        <v/>
      </c>
    </row>
    <row r="18">
      <c r="A18" s="18" t="inlineStr">
        <is>
          <t>OUT-04</t>
        </is>
      </c>
      <c r="B18" s="18" t="inlineStr">
        <is>
          <t>EL-205</t>
        </is>
      </c>
      <c r="C18" s="18" t="n">
        <v>2</v>
      </c>
      <c r="D18" s="22" t="n">
        <v>0</v>
      </c>
      <c r="E18" s="23" t="n"/>
      <c r="F18" s="18" t="inlineStr">
        <is>
          <t>BL-401</t>
        </is>
      </c>
      <c r="G18" s="18" t="n">
        <v>120</v>
      </c>
      <c r="AA18">
        <f>INDEX($G$15:$G$18,MATCH(B18,$F$15:$F$18,0))*C18</f>
        <v/>
      </c>
      <c r="AB18">
        <f>AND(_xlfn.ISFORMULA(D18),IFERROR(ROUND(D18,4)=ROUND(AA18,4),EXACT(D18,AA18)))</f>
        <v/>
      </c>
    </row>
    <row r="19">
      <c r="A19" s="18" t="inlineStr">
        <is>
          <t>OUT-05</t>
        </is>
      </c>
      <c r="B19" s="18" t="inlineStr">
        <is>
          <t>BL-401</t>
        </is>
      </c>
      <c r="C19" s="18" t="n">
        <v>200</v>
      </c>
      <c r="D19" s="22" t="n">
        <v>0</v>
      </c>
      <c r="E19" s="23" t="n"/>
      <c r="F19" s="23" t="n"/>
      <c r="G19" s="23" t="n"/>
      <c r="AA19">
        <f>INDEX($G$15:$G$18,MATCH(B19,$F$15:$F$18,0))*C19</f>
        <v/>
      </c>
      <c r="AB19">
        <f>AND(_xlfn.ISFORMULA(D19),IFERROR(ROUND(D19,4)=ROUND(AA19,4),EXACT(D19,AA19)))</f>
        <v/>
      </c>
    </row>
    <row r="20">
      <c r="A20" s="18" t="inlineStr">
        <is>
          <t>OUT-06</t>
        </is>
      </c>
      <c r="B20" s="18" t="inlineStr">
        <is>
          <t>MT-101</t>
        </is>
      </c>
      <c r="C20" s="18" t="n">
        <v>15</v>
      </c>
      <c r="D20" s="22" t="n">
        <v>0</v>
      </c>
      <c r="E20" s="23" t="n"/>
      <c r="F20" s="23" t="n"/>
      <c r="G20" s="23" t="n"/>
      <c r="AA20">
        <f>INDEX($G$15:$G$18,MATCH(B20,$F$15:$F$18,0))*C20</f>
        <v/>
      </c>
      <c r="AB20">
        <f>AND(_xlfn.ISFORMULA(D20),IFERROR(ROUND(D20,4)=ROUND(AA20,4),EXACT(D20,AA20)))</f>
        <v/>
      </c>
    </row>
    <row r="23">
      <c r="A23" s="20" t="inlineStr">
        <is>
          <t>[표3] 분류별 품목 비율</t>
        </is>
      </c>
    </row>
    <row r="24">
      <c r="A24" s="13" t="inlineStr">
        <is>
          <t>자재명</t>
        </is>
      </c>
      <c r="B24" s="13" t="inlineStr">
        <is>
          <t>분류</t>
        </is>
      </c>
      <c r="C24" s="13" t="inlineStr"/>
      <c r="D24" s="13" t="inlineStr">
        <is>
          <t>분류</t>
        </is>
      </c>
      <c r="E24" s="13" t="inlineStr">
        <is>
          <t>비율</t>
        </is>
      </c>
    </row>
    <row r="25">
      <c r="A25" s="18" t="inlineStr">
        <is>
          <t>평철</t>
        </is>
      </c>
      <c r="B25" s="18" t="inlineStr">
        <is>
          <t>철강</t>
        </is>
      </c>
      <c r="C25" s="23" t="n"/>
      <c r="D25" s="18" t="inlineStr">
        <is>
          <t>철강</t>
        </is>
      </c>
      <c r="E25" s="24" t="n">
        <v>0</v>
      </c>
      <c r="AA25">
        <f>COUNTIF($B$25:$B$34,D25)/COUNTA($B$25:$B$34)</f>
        <v/>
      </c>
      <c r="AB25">
        <f>AND(_xlfn.ISFORMULA(E25),IFERROR(ROUND(E25,4)=ROUND(AA25,4),EXACT(E25,AA25)))</f>
        <v/>
      </c>
    </row>
    <row r="26">
      <c r="A26" s="18" t="inlineStr">
        <is>
          <t>근접센서</t>
        </is>
      </c>
      <c r="B26" s="18" t="inlineStr">
        <is>
          <t>전기</t>
        </is>
      </c>
      <c r="C26" s="23" t="n"/>
      <c r="D26" s="18" t="inlineStr">
        <is>
          <t>전기</t>
        </is>
      </c>
      <c r="E26" s="24" t="n">
        <v>0</v>
      </c>
      <c r="AA26">
        <f>COUNTIF($B$25:$B$34,D26)/COUNTA($B$25:$B$34)</f>
        <v/>
      </c>
      <c r="AB26">
        <f>AND(_xlfn.ISFORMULA(E26),IFERROR(ROUND(E26,4)=ROUND(AA26,4),EXACT(E26,AA26)))</f>
        <v/>
      </c>
    </row>
    <row r="27">
      <c r="A27" s="18" t="inlineStr">
        <is>
          <t>실린더</t>
        </is>
      </c>
      <c r="B27" s="18" t="inlineStr">
        <is>
          <t>공압</t>
        </is>
      </c>
      <c r="C27" s="23" t="n"/>
      <c r="D27" s="18" t="inlineStr">
        <is>
          <t>공압</t>
        </is>
      </c>
      <c r="E27" s="24" t="n">
        <v>0</v>
      </c>
      <c r="AA27">
        <f>COUNTIF($B$25:$B$34,D27)/COUNTA($B$25:$B$34)</f>
        <v/>
      </c>
      <c r="AB27">
        <f>AND(_xlfn.ISFORMULA(E27),IFERROR(ROUND(E27,4)=ROUND(AA27,4),EXACT(E27,AA27)))</f>
        <v/>
      </c>
    </row>
    <row r="28">
      <c r="A28" s="18" t="inlineStr">
        <is>
          <t>환봉</t>
        </is>
      </c>
      <c r="B28" s="18" t="inlineStr">
        <is>
          <t>철강</t>
        </is>
      </c>
      <c r="C28" s="23" t="n"/>
      <c r="D28" s="23" t="n"/>
      <c r="E28" s="23" t="n"/>
    </row>
    <row r="29">
      <c r="A29" s="18" t="inlineStr">
        <is>
          <t>릴레이</t>
        </is>
      </c>
      <c r="B29" s="18" t="inlineStr">
        <is>
          <t>전기</t>
        </is>
      </c>
      <c r="C29" s="23" t="n"/>
      <c r="D29" s="23" t="n"/>
      <c r="E29" s="23" t="n"/>
    </row>
    <row r="30">
      <c r="A30" s="18" t="inlineStr">
        <is>
          <t>밸브</t>
        </is>
      </c>
      <c r="B30" s="18" t="inlineStr">
        <is>
          <t>공압</t>
        </is>
      </c>
      <c r="C30" s="23" t="n"/>
      <c r="D30" s="23" t="n"/>
      <c r="E30" s="23" t="n"/>
    </row>
    <row r="31">
      <c r="A31" s="18" t="inlineStr">
        <is>
          <t>판재</t>
        </is>
      </c>
      <c r="B31" s="18" t="inlineStr">
        <is>
          <t>철강</t>
        </is>
      </c>
      <c r="C31" s="23" t="n"/>
      <c r="D31" s="23" t="n"/>
      <c r="E31" s="23" t="n"/>
    </row>
    <row r="32">
      <c r="A32" s="18" t="inlineStr">
        <is>
          <t>서보모터</t>
        </is>
      </c>
      <c r="B32" s="18" t="inlineStr">
        <is>
          <t>전기</t>
        </is>
      </c>
      <c r="C32" s="23" t="n"/>
      <c r="D32" s="23" t="n"/>
      <c r="E32" s="23" t="n"/>
    </row>
    <row r="33">
      <c r="A33" s="18" t="inlineStr">
        <is>
          <t>볼트</t>
        </is>
      </c>
      <c r="B33" s="18" t="inlineStr">
        <is>
          <t>철강</t>
        </is>
      </c>
      <c r="C33" s="23" t="n"/>
      <c r="D33" s="23" t="n"/>
      <c r="E33" s="23" t="n"/>
    </row>
    <row r="34">
      <c r="A34" s="18" t="inlineStr">
        <is>
          <t>케이블</t>
        </is>
      </c>
      <c r="B34" s="18" t="inlineStr">
        <is>
          <t>전기</t>
        </is>
      </c>
      <c r="C34" s="23" t="n"/>
      <c r="D34" s="23" t="n"/>
      <c r="E34" s="23" t="n"/>
    </row>
    <row r="37">
      <c r="A37" s="20" t="inlineStr">
        <is>
          <t>[표4] 설비 사용 연수</t>
        </is>
      </c>
    </row>
    <row r="38">
      <c r="A38" s="13" t="inlineStr">
        <is>
          <t>설비</t>
        </is>
      </c>
      <c r="B38" s="13" t="inlineStr">
        <is>
          <t>도입일</t>
        </is>
      </c>
      <c r="C38" s="13" t="inlineStr">
        <is>
          <t>사용 연수</t>
        </is>
      </c>
      <c r="D38" s="13" t="inlineStr"/>
      <c r="E38" s="13" t="inlineStr">
        <is>
          <t>기준일</t>
        </is>
      </c>
    </row>
    <row r="39">
      <c r="A39" s="18" t="inlineStr">
        <is>
          <t>프레스</t>
        </is>
      </c>
      <c r="B39" s="17" t="n">
        <v>40973</v>
      </c>
      <c r="C39" s="21" t="n">
        <v>0</v>
      </c>
      <c r="D39" s="23" t="n"/>
      <c r="E39" s="17" t="n">
        <v>46296</v>
      </c>
      <c r="AA39">
        <f>YEAR($E$39)-YEAR(B39)&amp;"년"</f>
        <v/>
      </c>
      <c r="AB39">
        <f>AND(_xlfn.ISFORMULA(C39),IFERROR(ROUND(C39,4)=ROUND(AA39,4),EXACT(C39,AA39)))</f>
        <v/>
      </c>
    </row>
    <row r="40">
      <c r="A40" s="18" t="inlineStr">
        <is>
          <t>용접기</t>
        </is>
      </c>
      <c r="B40" s="17" t="n">
        <v>43789</v>
      </c>
      <c r="C40" s="21" t="n">
        <v>0</v>
      </c>
      <c r="D40" s="23" t="n"/>
      <c r="E40" s="23" t="n"/>
      <c r="AA40">
        <f>YEAR($E$39)-YEAR(B40)&amp;"년"</f>
        <v/>
      </c>
      <c r="AB40">
        <f>AND(_xlfn.ISFORMULA(C40),IFERROR(ROUND(C40,4)=ROUND(AA40,4),EXACT(C40,AA40)))</f>
        <v/>
      </c>
    </row>
    <row r="41">
      <c r="A41" s="18" t="inlineStr">
        <is>
          <t>CNC</t>
        </is>
      </c>
      <c r="B41" s="17" t="n">
        <v>44200</v>
      </c>
      <c r="C41" s="21" t="n">
        <v>0</v>
      </c>
      <c r="D41" s="23" t="n"/>
      <c r="E41" s="23" t="n"/>
      <c r="AA41">
        <f>YEAR($E$39)-YEAR(B41)&amp;"년"</f>
        <v/>
      </c>
      <c r="AB41">
        <f>AND(_xlfn.ISFORMULA(C41),IFERROR(ROUND(C41,4)=ROUND(AA41,4),EXACT(C41,AA41)))</f>
        <v/>
      </c>
    </row>
    <row r="42">
      <c r="A42" s="18" t="inlineStr">
        <is>
          <t>로봇</t>
        </is>
      </c>
      <c r="B42" s="17" t="n">
        <v>45474</v>
      </c>
      <c r="C42" s="21" t="n">
        <v>0</v>
      </c>
      <c r="D42" s="23" t="n"/>
      <c r="E42" s="23" t="n"/>
      <c r="AA42">
        <f>YEAR($E$39)-YEAR(B42)&amp;"년"</f>
        <v/>
      </c>
      <c r="AB42">
        <f>AND(_xlfn.ISFORMULA(C42),IFERROR(ROUND(C42,4)=ROUND(AA42,4),EXACT(C42,AA42)))</f>
        <v/>
      </c>
    </row>
    <row r="43">
      <c r="A43" s="18" t="inlineStr">
        <is>
          <t>컨베이어</t>
        </is>
      </c>
      <c r="B43" s="17" t="n">
        <v>39598</v>
      </c>
      <c r="C43" s="21" t="n">
        <v>0</v>
      </c>
      <c r="D43" s="23" t="n"/>
      <c r="E43" s="23" t="n"/>
      <c r="AA43">
        <f>YEAR($E$39)-YEAR(B43)&amp;"년"</f>
        <v/>
      </c>
      <c r="AB43">
        <f>AND(_xlfn.ISFORMULA(C43),IFERROR(ROUND(C43,4)=ROUND(AA43,4),EXACT(C43,AA43)))</f>
        <v/>
      </c>
    </row>
    <row r="44">
      <c r="A44" s="18" t="inlineStr">
        <is>
          <t>압축기</t>
        </is>
      </c>
      <c r="B44" s="17" t="n">
        <v>46069</v>
      </c>
      <c r="C44" s="21" t="n">
        <v>0</v>
      </c>
      <c r="D44" s="23" t="n"/>
      <c r="E44" s="23" t="n"/>
      <c r="AA44">
        <f>YEAR($E$39)-YEAR(B44)&amp;"년"</f>
        <v/>
      </c>
      <c r="AB44">
        <f>AND(_xlfn.ISFORMULA(C44),IFERROR(ROUND(C44,4)=ROUND(AA44,4),EXACT(C44,AA44)))</f>
        <v/>
      </c>
    </row>
    <row r="47">
      <c r="A47" s="20" t="inlineStr">
        <is>
          <t>[표5] 2창고 대량 입고 합계</t>
        </is>
      </c>
    </row>
    <row r="48">
      <c r="A48" s="13" t="inlineStr">
        <is>
          <t>자재코드</t>
        </is>
      </c>
      <c r="B48" s="13" t="inlineStr">
        <is>
          <t>창고</t>
        </is>
      </c>
      <c r="C48" s="13" t="inlineStr">
        <is>
          <t>수량</t>
        </is>
      </c>
      <c r="D48" s="13" t="inlineStr"/>
      <c r="E48" s="13" t="inlineStr">
        <is>
          <t>창고</t>
        </is>
      </c>
      <c r="F48" s="13" t="inlineStr">
        <is>
          <t>수량</t>
        </is>
      </c>
      <c r="G48" s="13" t="inlineStr">
        <is>
          <t>합계</t>
        </is>
      </c>
    </row>
    <row r="49">
      <c r="A49" s="18" t="inlineStr">
        <is>
          <t>EL-205</t>
        </is>
      </c>
      <c r="B49" s="18" t="inlineStr">
        <is>
          <t>2창고</t>
        </is>
      </c>
      <c r="C49" s="18" t="n">
        <v>40</v>
      </c>
      <c r="D49" s="23" t="n"/>
      <c r="E49" s="18" t="inlineStr">
        <is>
          <t>2창고</t>
        </is>
      </c>
      <c r="F49" s="18" t="inlineStr">
        <is>
          <t>&gt;=20</t>
        </is>
      </c>
      <c r="G49" s="21" t="n">
        <v>0</v>
      </c>
      <c r="AA49">
        <f>DSUM(A48:C54,3,E48:F49)</f>
        <v/>
      </c>
      <c r="AB49">
        <f>AND(_xlfn.ISFORMULA(G49),IFERROR(ROUND(G49,4)=ROUND(AA49,4),EXACT(G49,AA49)))</f>
        <v/>
      </c>
    </row>
    <row r="50">
      <c r="A50" s="18" t="inlineStr">
        <is>
          <t>MT-101</t>
        </is>
      </c>
      <c r="B50" s="18" t="inlineStr">
        <is>
          <t>1창고</t>
        </is>
      </c>
      <c r="C50" s="18" t="n">
        <v>120</v>
      </c>
      <c r="D50" s="23" t="n"/>
      <c r="E50" s="23" t="n"/>
      <c r="F50" s="23" t="n"/>
      <c r="G50" s="23" t="n"/>
    </row>
    <row r="51">
      <c r="A51" s="18" t="inlineStr">
        <is>
          <t>PN-310</t>
        </is>
      </c>
      <c r="B51" s="18" t="inlineStr">
        <is>
          <t>2창고</t>
        </is>
      </c>
      <c r="C51" s="18" t="n">
        <v>16</v>
      </c>
      <c r="D51" s="23" t="n"/>
      <c r="E51" s="23" t="n"/>
      <c r="F51" s="23" t="n"/>
      <c r="G51" s="23" t="n"/>
    </row>
    <row r="52">
      <c r="A52" s="18" t="inlineStr">
        <is>
          <t>PN-311</t>
        </is>
      </c>
      <c r="B52" s="18" t="inlineStr">
        <is>
          <t>2창고</t>
        </is>
      </c>
      <c r="C52" s="18" t="n">
        <v>24</v>
      </c>
      <c r="D52" s="23" t="n"/>
      <c r="E52" s="23" t="n"/>
      <c r="F52" s="23" t="n"/>
      <c r="G52" s="23" t="n"/>
    </row>
    <row r="53">
      <c r="A53" s="18" t="inlineStr">
        <is>
          <t>BL-401</t>
        </is>
      </c>
      <c r="B53" s="18" t="inlineStr">
        <is>
          <t>3창고</t>
        </is>
      </c>
      <c r="C53" s="18" t="n">
        <v>900</v>
      </c>
      <c r="D53" s="23" t="n"/>
      <c r="E53" s="23" t="n"/>
      <c r="F53" s="23" t="n"/>
      <c r="G53" s="23" t="n"/>
    </row>
    <row r="54">
      <c r="A54" s="18" t="inlineStr">
        <is>
          <t>EL-208</t>
        </is>
      </c>
      <c r="B54" s="18" t="inlineStr">
        <is>
          <t>2창고</t>
        </is>
      </c>
      <c r="C54" s="18" t="n">
        <v>60</v>
      </c>
      <c r="D54" s="23" t="n"/>
      <c r="E54" s="23" t="n"/>
      <c r="F54" s="23" t="n"/>
      <c r="G54" s="23" t="n"/>
    </row>
  </sheetData>
  <mergeCells count="5">
    <mergeCell ref="A13:G13"/>
    <mergeCell ref="A1:E1"/>
    <mergeCell ref="A23:E23"/>
    <mergeCell ref="A37:E37"/>
    <mergeCell ref="A47:G47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6" customHeight="1">
      <c r="A1" s="12" t="inlineStr">
        <is>
          <t>할인율에 따른 이익</t>
        </is>
      </c>
    </row>
    <row r="3">
      <c r="A3" s="25" t="inlineStr">
        <is>
          <t>정가</t>
        </is>
      </c>
      <c r="B3" s="25" t="n">
        <v>20000</v>
      </c>
    </row>
    <row r="4">
      <c r="A4" s="25" t="inlineStr">
        <is>
          <t>할인율</t>
        </is>
      </c>
      <c r="B4" s="26" t="n">
        <v>0.1</v>
      </c>
    </row>
    <row r="5">
      <c r="A5" s="25" t="inlineStr">
        <is>
          <t>판매량</t>
        </is>
      </c>
      <c r="B5" s="25" t="n">
        <v>1200</v>
      </c>
    </row>
    <row r="6">
      <c r="A6" s="25" t="inlineStr">
        <is>
          <t>개당 원가</t>
        </is>
      </c>
      <c r="B6" s="25" t="n">
        <v>12000</v>
      </c>
    </row>
    <row r="7">
      <c r="A7" s="25" t="inlineStr">
        <is>
          <t>고정비</t>
        </is>
      </c>
      <c r="B7" s="25" t="n">
        <v>3000000</v>
      </c>
    </row>
    <row r="8">
      <c r="A8" s="25" t="inlineStr">
        <is>
          <t>이익</t>
        </is>
      </c>
      <c r="B8" s="27">
        <f>B3*(1-B4)*B5-(B6*B5+B7)</f>
        <v/>
      </c>
    </row>
  </sheetData>
  <mergeCells count="1">
    <mergeCell ref="A1:D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9" customWidth="1" min="4" max="4"/>
    <col width="10" customWidth="1" min="5" max="5"/>
    <col width="12" customWidth="1" min="6" max="6"/>
  </cols>
  <sheetData>
    <row r="1" ht="26" customHeight="1">
      <c r="A1" s="12" t="inlineStr">
        <is>
          <t>자재 재고</t>
        </is>
      </c>
    </row>
    <row r="3">
      <c r="A3" s="13" t="inlineStr">
        <is>
          <t>자재코드</t>
        </is>
      </c>
      <c r="B3" s="13" t="inlineStr">
        <is>
          <t>자재명</t>
        </is>
      </c>
      <c r="C3" s="13" t="inlineStr">
        <is>
          <t>창고</t>
        </is>
      </c>
      <c r="D3" s="13" t="inlineStr">
        <is>
          <t>수량</t>
        </is>
      </c>
      <c r="E3" s="13" t="inlineStr">
        <is>
          <t>단가</t>
        </is>
      </c>
      <c r="F3" s="13" t="inlineStr">
        <is>
          <t>입고일</t>
        </is>
      </c>
    </row>
    <row r="4">
      <c r="A4" s="18" t="inlineStr">
        <is>
          <t>MT-101</t>
        </is>
      </c>
      <c r="B4" s="18" t="inlineStr">
        <is>
          <t>SS400 평철</t>
        </is>
      </c>
      <c r="C4" s="18" t="inlineStr">
        <is>
          <t>1창고</t>
        </is>
      </c>
      <c r="D4" s="19" t="n">
        <v>120</v>
      </c>
      <c r="E4" s="19" t="n">
        <v>3400</v>
      </c>
      <c r="F4" s="17" t="n">
        <v>46266</v>
      </c>
    </row>
    <row r="5">
      <c r="A5" s="18" t="inlineStr">
        <is>
          <t>EL-205</t>
        </is>
      </c>
      <c r="B5" s="18" t="inlineStr">
        <is>
          <t>근접센서</t>
        </is>
      </c>
      <c r="C5" s="18" t="inlineStr">
        <is>
          <t>2창고</t>
        </is>
      </c>
      <c r="D5" s="19" t="n">
        <v>40</v>
      </c>
      <c r="E5" s="19" t="n">
        <v>18500</v>
      </c>
      <c r="F5" s="17" t="n">
        <v>46266</v>
      </c>
    </row>
    <row r="6">
      <c r="A6" s="18" t="inlineStr">
        <is>
          <t>PN-310</t>
        </is>
      </c>
      <c r="B6" s="18" t="inlineStr">
        <is>
          <t>공압실린더</t>
        </is>
      </c>
      <c r="C6" s="18" t="inlineStr">
        <is>
          <t>2창고</t>
        </is>
      </c>
      <c r="D6" s="19" t="n">
        <v>16</v>
      </c>
      <c r="E6" s="19" t="n">
        <v>42000</v>
      </c>
      <c r="F6" s="17" t="n">
        <v>46267</v>
      </c>
    </row>
    <row r="7">
      <c r="A7" s="18" t="inlineStr">
        <is>
          <t>MT-102</t>
        </is>
      </c>
      <c r="B7" s="18" t="inlineStr">
        <is>
          <t>SM45C 환봉</t>
        </is>
      </c>
      <c r="C7" s="18" t="inlineStr">
        <is>
          <t>1창고</t>
        </is>
      </c>
      <c r="D7" s="19" t="n">
        <v>80</v>
      </c>
      <c r="E7" s="19" t="n">
        <v>5200</v>
      </c>
      <c r="F7" s="17" t="n">
        <v>46268</v>
      </c>
    </row>
    <row r="8">
      <c r="A8" s="18" t="inlineStr">
        <is>
          <t>EL-206</t>
        </is>
      </c>
      <c r="B8" s="18" t="inlineStr">
        <is>
          <t>릴레이 24V</t>
        </is>
      </c>
      <c r="C8" s="18" t="inlineStr">
        <is>
          <t>3창고</t>
        </is>
      </c>
      <c r="D8" s="19" t="n">
        <v>150</v>
      </c>
      <c r="E8" s="19" t="n">
        <v>2100</v>
      </c>
      <c r="F8" s="17" t="n">
        <v>46269</v>
      </c>
    </row>
    <row r="9">
      <c r="A9" s="18" t="inlineStr">
        <is>
          <t>BL-401</t>
        </is>
      </c>
      <c r="B9" s="18" t="inlineStr">
        <is>
          <t>육각볼트</t>
        </is>
      </c>
      <c r="C9" s="18" t="inlineStr">
        <is>
          <t>3창고</t>
        </is>
      </c>
      <c r="D9" s="19" t="n">
        <v>900</v>
      </c>
      <c r="E9" s="19" t="n">
        <v>120</v>
      </c>
      <c r="F9" s="17" t="n">
        <v>46272</v>
      </c>
    </row>
    <row r="10">
      <c r="A10" s="18" t="inlineStr">
        <is>
          <t>PN-311</t>
        </is>
      </c>
      <c r="B10" s="18" t="inlineStr">
        <is>
          <t>솔레노이드밸브</t>
        </is>
      </c>
      <c r="C10" s="18" t="inlineStr">
        <is>
          <t>2창고</t>
        </is>
      </c>
      <c r="D10" s="19" t="n">
        <v>24</v>
      </c>
      <c r="E10" s="19" t="n">
        <v>35000</v>
      </c>
      <c r="F10" s="17" t="n">
        <v>46273</v>
      </c>
    </row>
    <row r="11">
      <c r="A11" s="18" t="inlineStr">
        <is>
          <t>MT-103</t>
        </is>
      </c>
      <c r="B11" s="18" t="inlineStr">
        <is>
          <t>알루미늄 판재</t>
        </is>
      </c>
      <c r="C11" s="18" t="inlineStr">
        <is>
          <t>1창고</t>
        </is>
      </c>
      <c r="D11" s="19" t="n">
        <v>45</v>
      </c>
      <c r="E11" s="19" t="n">
        <v>9800</v>
      </c>
      <c r="F11" s="17" t="n">
        <v>46274</v>
      </c>
    </row>
    <row r="12">
      <c r="A12" s="18" t="inlineStr">
        <is>
          <t>EL-207</t>
        </is>
      </c>
      <c r="B12" s="18" t="inlineStr">
        <is>
          <t>서보모터</t>
        </is>
      </c>
      <c r="C12" s="18" t="inlineStr">
        <is>
          <t>3창고</t>
        </is>
      </c>
      <c r="D12" s="19" t="n">
        <v>3</v>
      </c>
      <c r="E12" s="19" t="n">
        <v>185000</v>
      </c>
      <c r="F12" s="17" t="n">
        <v>46274</v>
      </c>
    </row>
    <row r="13">
      <c r="A13" s="18" t="inlineStr">
        <is>
          <t>BL-402</t>
        </is>
      </c>
      <c r="B13" s="18" t="inlineStr">
        <is>
          <t>와셔 M10</t>
        </is>
      </c>
      <c r="C13" s="18" t="inlineStr">
        <is>
          <t>3창고</t>
        </is>
      </c>
      <c r="D13" s="19" t="n">
        <v>1200</v>
      </c>
      <c r="E13" s="19" t="n">
        <v>30</v>
      </c>
      <c r="F13" s="17" t="n">
        <v>46275</v>
      </c>
    </row>
    <row r="14">
      <c r="A14" s="18" t="inlineStr">
        <is>
          <t>PN-312</t>
        </is>
      </c>
      <c r="B14" s="18" t="inlineStr">
        <is>
          <t>에어호스</t>
        </is>
      </c>
      <c r="C14" s="18" t="inlineStr">
        <is>
          <t>2창고</t>
        </is>
      </c>
      <c r="D14" s="19" t="n">
        <v>60</v>
      </c>
      <c r="E14" s="19" t="n">
        <v>4500</v>
      </c>
      <c r="F14" s="17" t="n">
        <v>46276</v>
      </c>
    </row>
    <row r="15">
      <c r="A15" s="18" t="inlineStr">
        <is>
          <t>MT-104</t>
        </is>
      </c>
      <c r="B15" s="18" t="inlineStr">
        <is>
          <t>황동봉</t>
        </is>
      </c>
      <c r="C15" s="18" t="inlineStr">
        <is>
          <t>1창고</t>
        </is>
      </c>
      <c r="D15" s="19" t="n">
        <v>18</v>
      </c>
      <c r="E15" s="19" t="n">
        <v>15000</v>
      </c>
      <c r="F15" s="17" t="n">
        <v>46277</v>
      </c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6" customHeight="1">
      <c r="A1" s="12" t="inlineStr">
        <is>
          <t>매크로</t>
        </is>
      </c>
    </row>
    <row r="3">
      <c r="A3" s="13" t="inlineStr">
        <is>
          <t>자재코드</t>
        </is>
      </c>
      <c r="B3" s="13" t="inlineStr">
        <is>
          <t>자재명</t>
        </is>
      </c>
      <c r="C3" s="13" t="inlineStr">
        <is>
          <t>창고</t>
        </is>
      </c>
      <c r="D3" s="13" t="inlineStr">
        <is>
          <t>수량</t>
        </is>
      </c>
      <c r="E3" s="13" t="inlineStr">
        <is>
          <t>단가</t>
        </is>
      </c>
      <c r="F3" s="13" t="inlineStr">
        <is>
          <t>금액</t>
        </is>
      </c>
    </row>
    <row r="4">
      <c r="A4" s="18" t="inlineStr">
        <is>
          <t>MT-101</t>
        </is>
      </c>
      <c r="B4" s="18" t="inlineStr">
        <is>
          <t>SS400 평철</t>
        </is>
      </c>
      <c r="C4" s="18" t="inlineStr">
        <is>
          <t>1창고</t>
        </is>
      </c>
      <c r="D4" s="18" t="n">
        <v>30</v>
      </c>
      <c r="E4" s="18" t="n">
        <v>3400</v>
      </c>
      <c r="F4" s="28" t="n"/>
    </row>
    <row r="5">
      <c r="A5" s="18" t="inlineStr">
        <is>
          <t>EL-205</t>
        </is>
      </c>
      <c r="B5" s="18" t="inlineStr">
        <is>
          <t>근접센서</t>
        </is>
      </c>
      <c r="C5" s="18" t="inlineStr">
        <is>
          <t>2창고</t>
        </is>
      </c>
      <c r="D5" s="18" t="n">
        <v>8</v>
      </c>
      <c r="E5" s="18" t="n">
        <v>18500</v>
      </c>
      <c r="F5" s="28" t="n"/>
    </row>
    <row r="6">
      <c r="A6" s="18" t="inlineStr">
        <is>
          <t>BL-401</t>
        </is>
      </c>
      <c r="B6" s="18" t="inlineStr">
        <is>
          <t>육각볼트</t>
        </is>
      </c>
      <c r="C6" s="18" t="inlineStr">
        <is>
          <t>3창고</t>
        </is>
      </c>
      <c r="D6" s="18" t="n">
        <v>200</v>
      </c>
      <c r="E6" s="18" t="n">
        <v>120</v>
      </c>
      <c r="F6" s="28" t="n"/>
    </row>
    <row r="7">
      <c r="A7" s="18" t="inlineStr">
        <is>
          <t>PN-310</t>
        </is>
      </c>
      <c r="B7" s="18" t="inlineStr">
        <is>
          <t>공압실린더</t>
        </is>
      </c>
      <c r="C7" s="18" t="inlineStr">
        <is>
          <t>2창고</t>
        </is>
      </c>
      <c r="D7" s="18" t="n">
        <v>4</v>
      </c>
      <c r="E7" s="18" t="n">
        <v>42000</v>
      </c>
      <c r="F7" s="28" t="n"/>
    </row>
    <row r="8">
      <c r="A8" s="18" t="inlineStr">
        <is>
          <t>MT-102</t>
        </is>
      </c>
      <c r="B8" s="18" t="inlineStr">
        <is>
          <t>SM45C 환봉</t>
        </is>
      </c>
      <c r="C8" s="18" t="inlineStr">
        <is>
          <t>1창고</t>
        </is>
      </c>
      <c r="D8" s="18" t="n">
        <v>25</v>
      </c>
      <c r="E8" s="18" t="n">
        <v>5200</v>
      </c>
      <c r="F8" s="28" t="n"/>
    </row>
    <row r="9">
      <c r="A9" s="18" t="inlineStr">
        <is>
          <t>EL-206</t>
        </is>
      </c>
      <c r="B9" s="18" t="inlineStr">
        <is>
          <t>릴레이 24V</t>
        </is>
      </c>
      <c r="C9" s="18" t="inlineStr">
        <is>
          <t>3창고</t>
        </is>
      </c>
      <c r="D9" s="18" t="n">
        <v>60</v>
      </c>
      <c r="E9" s="18" t="n">
        <v>2100</v>
      </c>
      <c r="F9" s="28" t="n"/>
    </row>
    <row r="10">
      <c r="A10" s="18" t="inlineStr">
        <is>
          <t>PN-311</t>
        </is>
      </c>
      <c r="B10" s="18" t="inlineStr">
        <is>
          <t>솔레노이드밸브</t>
        </is>
      </c>
      <c r="C10" s="18" t="inlineStr">
        <is>
          <t>2창고</t>
        </is>
      </c>
      <c r="D10" s="18" t="n">
        <v>6</v>
      </c>
      <c r="E10" s="18" t="n">
        <v>35000</v>
      </c>
      <c r="F10" s="28" t="n"/>
    </row>
  </sheetData>
  <mergeCells count="1"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29" t="inlineStr">
        <is>
          <t>창고별 입출고</t>
        </is>
      </c>
    </row>
    <row r="3">
      <c r="A3" s="13" t="inlineStr">
        <is>
          <t>창고</t>
        </is>
      </c>
      <c r="B3" s="13" t="inlineStr">
        <is>
          <t>입고</t>
        </is>
      </c>
      <c r="C3" s="13" t="inlineStr">
        <is>
          <t>출고</t>
        </is>
      </c>
      <c r="D3" s="13" t="inlineStr">
        <is>
          <t>재고</t>
        </is>
      </c>
    </row>
    <row r="4">
      <c r="A4" s="18" t="inlineStr">
        <is>
          <t>1창고</t>
        </is>
      </c>
      <c r="B4" s="19" t="n">
        <v>265</v>
      </c>
      <c r="C4" s="19" t="n">
        <v>175</v>
      </c>
      <c r="D4" s="19" t="n">
        <v>90</v>
      </c>
    </row>
    <row r="5">
      <c r="A5" s="18" t="inlineStr">
        <is>
          <t>2창고</t>
        </is>
      </c>
      <c r="B5" s="19" t="n">
        <v>140</v>
      </c>
      <c r="C5" s="19" t="n">
        <v>58</v>
      </c>
      <c r="D5" s="19" t="n">
        <v>82</v>
      </c>
    </row>
    <row r="6">
      <c r="A6" s="18" t="inlineStr">
        <is>
          <t>3창고</t>
        </is>
      </c>
      <c r="B6" s="19" t="n">
        <v>1050</v>
      </c>
      <c r="C6" s="19" t="n">
        <v>260</v>
      </c>
      <c r="D6" s="19" t="n">
        <v>790</v>
      </c>
    </row>
    <row r="7">
      <c r="A7" s="18" t="inlineStr">
        <is>
          <t>4창고</t>
        </is>
      </c>
      <c r="B7" s="19" t="n">
        <v>320</v>
      </c>
      <c r="C7" s="19" t="n">
        <v>290</v>
      </c>
      <c r="D7" s="19" t="n">
        <v>30</v>
      </c>
    </row>
  </sheetData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G30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" customWidth="1" min="3" max="3"/>
    <col width="9" customWidth="1" min="4" max="4"/>
    <col width="9" customWidth="1" min="5" max="5"/>
    <col width="40" customWidth="1" min="6" max="6"/>
    <col width="8" customWidth="1" min="7" max="7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</cols>
  <sheetData>
    <row r="1" ht="26" customHeight="1">
      <c r="A1" s="12" t="inlineStr">
        <is>
          <t>채점표 — 제3회 (자동 칸은 저절로, '스스로' 칸은 O / X 를 고르세요)</t>
        </is>
      </c>
    </row>
    <row r="3" ht="24" customHeight="1">
      <c r="A3" s="30" t="inlineStr">
        <is>
          <t>작업</t>
        </is>
      </c>
      <c r="B3" s="30" t="inlineStr">
        <is>
          <t>문항</t>
        </is>
      </c>
      <c r="C3" s="30" t="inlineStr">
        <is>
          <t>배점</t>
        </is>
      </c>
      <c r="D3" s="30" t="inlineStr">
        <is>
          <t>방식</t>
        </is>
      </c>
      <c r="E3" s="30" t="inlineStr">
        <is>
          <t>점수</t>
        </is>
      </c>
      <c r="F3" s="30" t="inlineStr">
        <is>
          <t>확인 방법</t>
        </is>
      </c>
      <c r="G3" s="31" t="inlineStr">
        <is>
          <t>O / X</t>
        </is>
      </c>
    </row>
    <row r="4" ht="30" customHeight="1">
      <c r="A4" s="18" t="inlineStr">
        <is>
          <t>기본작업-1</t>
        </is>
      </c>
      <c r="B4" s="32" t="inlineStr">
        <is>
          <t>자료 입력 (42칸 모두 정확히)</t>
        </is>
      </c>
      <c r="C4" s="18" t="n">
        <v>5</v>
      </c>
      <c r="D4" s="18" t="inlineStr">
        <is>
          <t>자동</t>
        </is>
      </c>
      <c r="E4" s="33">
        <f>IF(SUMPRODUCT(--EXACT('기본작업-1'!$A$4:$F$10&amp;"",'채점표'!$AA$4:$AF$10&amp;""))=42,5,0)</f>
        <v/>
      </c>
      <c r="F4" s="34" t="inlineStr">
        <is>
          <t>자동 — 한 칸이라도 다르면 0점 (실제 시험과 같음)</t>
        </is>
      </c>
      <c r="AA4" s="16" t="n">
        <v>46266</v>
      </c>
      <c r="AB4" t="inlineStr">
        <is>
          <t>MT-101</t>
        </is>
      </c>
      <c r="AC4" t="inlineStr">
        <is>
          <t>SS400 평철</t>
        </is>
      </c>
      <c r="AD4" t="inlineStr">
        <is>
          <t>1창고</t>
        </is>
      </c>
      <c r="AE4" t="n">
        <v>120</v>
      </c>
      <c r="AF4" t="n">
        <v>3400</v>
      </c>
    </row>
    <row r="5" ht="30" customHeight="1">
      <c r="A5" s="18" t="inlineStr">
        <is>
          <t>기본작업-2</t>
        </is>
      </c>
      <c r="B5" s="32" t="inlineStr">
        <is>
          <t>1) [A1:G1] 셀을 병합하여 가운데 맞춤, 글꼴 '궁서체' · 18pt · 굵게</t>
        </is>
      </c>
      <c r="C5" s="18" t="n">
        <v>2</v>
      </c>
      <c r="D5" s="18" t="inlineStr">
        <is>
          <t>스스로</t>
        </is>
      </c>
      <c r="E5" s="35">
        <f>IF(G5="O",C5,0)</f>
        <v/>
      </c>
      <c r="F5" s="34" t="inlineStr">
        <is>
          <t>제목 칸이 합쳐지고 궁서체</t>
        </is>
      </c>
      <c r="G5" s="36" t="n"/>
      <c r="AA5" s="16" t="n">
        <v>46266</v>
      </c>
      <c r="AB5" t="inlineStr">
        <is>
          <t>EL-205</t>
        </is>
      </c>
      <c r="AC5" t="inlineStr">
        <is>
          <t>근접센서</t>
        </is>
      </c>
      <c r="AD5" t="inlineStr">
        <is>
          <t>2창고</t>
        </is>
      </c>
      <c r="AE5" t="n">
        <v>40</v>
      </c>
      <c r="AF5" t="n">
        <v>18500</v>
      </c>
    </row>
    <row r="6" ht="30" customHeight="1">
      <c r="A6" s="18" t="inlineStr">
        <is>
          <t>기본작업-2</t>
        </is>
      </c>
      <c r="B6" s="32" t="inlineStr">
        <is>
          <t>2) [A3:G3] 영역은 가운데 맞춤, 글꼴 색 '흰색', 채우기 색 '진한 파랑'</t>
        </is>
      </c>
      <c r="C6" s="18" t="n">
        <v>2</v>
      </c>
      <c r="D6" s="18" t="inlineStr">
        <is>
          <t>스스로</t>
        </is>
      </c>
      <c r="E6" s="35">
        <f>IF(G6="O",C6,0)</f>
        <v/>
      </c>
      <c r="F6" s="34" t="inlineStr">
        <is>
          <t>머리글이 흰 글자·파란 바탕</t>
        </is>
      </c>
      <c r="G6" s="36" t="n"/>
      <c r="AA6" s="16" t="n">
        <v>46267</v>
      </c>
      <c r="AB6" t="inlineStr">
        <is>
          <t>PN-310</t>
        </is>
      </c>
      <c r="AC6" t="inlineStr">
        <is>
          <t>공압실린더</t>
        </is>
      </c>
      <c r="AD6" t="inlineStr">
        <is>
          <t>2창고</t>
        </is>
      </c>
      <c r="AE6" t="n">
        <v>16</v>
      </c>
      <c r="AF6" t="n">
        <v>42000</v>
      </c>
    </row>
    <row r="7" ht="44" customHeight="1">
      <c r="A7" s="18" t="inlineStr">
        <is>
          <t>기본작업-2</t>
        </is>
      </c>
      <c r="B7" s="32" t="inlineStr">
        <is>
          <t>3) [E4:E10] 영역에 사용자 지정 서식으로 숫자 뒤에 "EA" 표시 (예: 30EA, 0 이면 0EA)</t>
        </is>
      </c>
      <c r="C7" s="18" t="n">
        <v>2</v>
      </c>
      <c r="D7" s="18" t="inlineStr">
        <is>
          <t>스스로</t>
        </is>
      </c>
      <c r="E7" s="35">
        <f>IF(G7="O",C7,0)</f>
        <v/>
      </c>
      <c r="F7" s="34" t="inlineStr">
        <is>
          <t>E4 가 30EA</t>
        </is>
      </c>
      <c r="G7" s="36" t="n"/>
      <c r="AA7" s="16" t="n">
        <v>46268</v>
      </c>
      <c r="AB7" t="inlineStr">
        <is>
          <t>MT-102</t>
        </is>
      </c>
      <c r="AC7" t="inlineStr">
        <is>
          <t>SM45C 환봉</t>
        </is>
      </c>
      <c r="AD7" t="inlineStr">
        <is>
          <t>1창고</t>
        </is>
      </c>
      <c r="AE7" t="n">
        <v>80</v>
      </c>
      <c r="AF7" t="n">
        <v>5200</v>
      </c>
    </row>
    <row r="8" ht="30" customHeight="1">
      <c r="A8" s="18" t="inlineStr">
        <is>
          <t>기본작업-2</t>
        </is>
      </c>
      <c r="B8" s="32" t="inlineStr">
        <is>
          <t>4) [B4:B10] 영역의 이름을 '자재코드' 로 정의</t>
        </is>
      </c>
      <c r="C8" s="18" t="n">
        <v>2</v>
      </c>
      <c r="D8" s="18" t="inlineStr">
        <is>
          <t>자동</t>
        </is>
      </c>
      <c r="E8" s="33">
        <f>IF(ISREF(자재코드),2,0)</f>
        <v/>
      </c>
      <c r="F8" s="34" t="inlineStr">
        <is>
          <t>자동 채점 — 이름 상자에 '자재코드'</t>
        </is>
      </c>
      <c r="AA8" s="16" t="n">
        <v>46269</v>
      </c>
      <c r="AB8" t="inlineStr">
        <is>
          <t>EL-206</t>
        </is>
      </c>
      <c r="AC8" t="inlineStr">
        <is>
          <t>릴레이 24V</t>
        </is>
      </c>
      <c r="AD8" t="inlineStr">
        <is>
          <t>3창고</t>
        </is>
      </c>
      <c r="AE8" t="n">
        <v>150</v>
      </c>
      <c r="AF8" t="n">
        <v>2100</v>
      </c>
    </row>
    <row r="9" ht="30" customHeight="1">
      <c r="A9" s="18" t="inlineStr">
        <is>
          <t>기본작업-2</t>
        </is>
      </c>
      <c r="B9" s="32" t="inlineStr">
        <is>
          <t>5) [A3:G10] 영역에 '모든 테두리', [A10:G10] 아래쪽은 '굵은 아래쪽 테두리'</t>
        </is>
      </c>
      <c r="C9" s="18" t="n">
        <v>2</v>
      </c>
      <c r="D9" s="18" t="inlineStr">
        <is>
          <t>스스로</t>
        </is>
      </c>
      <c r="E9" s="35">
        <f>IF(G9="O",C9,0)</f>
        <v/>
      </c>
      <c r="F9" s="34" t="inlineStr">
        <is>
          <t>마지막 줄 아래가 굵은 선</t>
        </is>
      </c>
      <c r="G9" s="36" t="n"/>
      <c r="AA9" s="16" t="n">
        <v>46272</v>
      </c>
      <c r="AB9" t="inlineStr">
        <is>
          <t>BL-401</t>
        </is>
      </c>
      <c r="AC9" t="inlineStr">
        <is>
          <t>육각볼트 M10</t>
        </is>
      </c>
      <c r="AD9" t="inlineStr">
        <is>
          <t>3창고</t>
        </is>
      </c>
      <c r="AE9" t="n">
        <v>900</v>
      </c>
      <c r="AF9" t="n">
        <v>120</v>
      </c>
    </row>
    <row r="10" ht="30" customHeight="1">
      <c r="A10" s="18" t="inlineStr">
        <is>
          <t>기본작업-3</t>
        </is>
      </c>
      <c r="B10" s="32" t="inlineStr">
        <is>
          <t>고급 필터 (조건 · 결과 5행)</t>
        </is>
      </c>
      <c r="C10" s="18" t="n">
        <v>5</v>
      </c>
      <c r="D10" s="18" t="inlineStr">
        <is>
          <t>자동</t>
        </is>
      </c>
      <c r="E10" s="33">
        <f>IF(AND(SUMPRODUCT(--('기본작업-3'!$A$19:$G$24&amp;""='채점표'!$AA$12:$AG$17&amp;""))=42,COUNTA('기본작업-3'!$A$25:$G$25)=0),5,0)</f>
        <v/>
      </c>
      <c r="F10" s="34" t="inlineStr">
        <is>
          <t>자동 — 결과가 A19 부터 정확히 5행</t>
        </is>
      </c>
      <c r="AA10" s="16" t="n">
        <v>46273</v>
      </c>
      <c r="AB10" t="inlineStr">
        <is>
          <t>PN-311</t>
        </is>
      </c>
      <c r="AC10" t="inlineStr">
        <is>
          <t>솔레노이드밸브</t>
        </is>
      </c>
      <c r="AD10" t="inlineStr">
        <is>
          <t>2창고</t>
        </is>
      </c>
      <c r="AE10" t="n">
        <v>24</v>
      </c>
      <c r="AF10" t="n">
        <v>35000</v>
      </c>
    </row>
    <row r="11" ht="30" customHeight="1">
      <c r="A11" s="18" t="inlineStr">
        <is>
          <t>계산작업</t>
        </is>
      </c>
      <c r="B11" s="32" t="inlineStr">
        <is>
          <t>1. [표1] 재고 상태 [E3:E10]</t>
        </is>
      </c>
      <c r="C11" s="18" t="n">
        <v>8</v>
      </c>
      <c r="D11" s="18" t="inlineStr">
        <is>
          <t>자동</t>
        </is>
      </c>
      <c r="E11" s="33">
        <f>IF(COUNTIF('계산작업'!$AB$3:$AB$10,TRUE)=8,8,0)</f>
        <v/>
      </c>
      <c r="F11" s="34" t="inlineStr">
        <is>
          <t>자동 — 8칸 모두 맞아야 8점</t>
        </is>
      </c>
    </row>
    <row r="12" ht="30" customHeight="1">
      <c r="A12" s="18" t="inlineStr">
        <is>
          <t>계산작업</t>
        </is>
      </c>
      <c r="B12" s="32" t="inlineStr">
        <is>
          <t>2. [표2] 출고 금액 [D15:D20]</t>
        </is>
      </c>
      <c r="C12" s="18" t="n">
        <v>8</v>
      </c>
      <c r="D12" s="18" t="inlineStr">
        <is>
          <t>자동</t>
        </is>
      </c>
      <c r="E12" s="33">
        <f>IF(COUNTIF('계산작업'!$AB$15:$AB$20,TRUE)=6,8,0)</f>
        <v/>
      </c>
      <c r="F12" s="34" t="inlineStr">
        <is>
          <t>자동 — 6칸 모두 맞아야 8점</t>
        </is>
      </c>
      <c r="AA12" t="inlineStr">
        <is>
          <t>출고일</t>
        </is>
      </c>
      <c r="AB12" t="inlineStr">
        <is>
          <t>자재코드</t>
        </is>
      </c>
      <c r="AC12" t="inlineStr">
        <is>
          <t>자재명</t>
        </is>
      </c>
      <c r="AD12" t="inlineStr">
        <is>
          <t>창고</t>
        </is>
      </c>
      <c r="AE12" t="inlineStr">
        <is>
          <t>수량</t>
        </is>
      </c>
      <c r="AF12" t="inlineStr">
        <is>
          <t>단가</t>
        </is>
      </c>
      <c r="AG12" t="inlineStr">
        <is>
          <t>금액</t>
        </is>
      </c>
    </row>
    <row r="13" ht="30" customHeight="1">
      <c r="A13" s="18" t="inlineStr">
        <is>
          <t>계산작업</t>
        </is>
      </c>
      <c r="B13" s="32" t="inlineStr">
        <is>
          <t>3. [표3] 분류별 품목 비율 [E25:E27]</t>
        </is>
      </c>
      <c r="C13" s="18" t="n">
        <v>8</v>
      </c>
      <c r="D13" s="18" t="inlineStr">
        <is>
          <t>자동</t>
        </is>
      </c>
      <c r="E13" s="33">
        <f>IF(COUNTIF('계산작업'!$AB$25:$AB$27,TRUE)=3,8,0)</f>
        <v/>
      </c>
      <c r="F13" s="34" t="inlineStr">
        <is>
          <t>자동 — 3칸 모두 맞아야 8점</t>
        </is>
      </c>
      <c r="AA13" s="16" t="n">
        <v>46275</v>
      </c>
      <c r="AB13" t="inlineStr">
        <is>
          <t>EL-205</t>
        </is>
      </c>
      <c r="AC13" t="inlineStr">
        <is>
          <t>근접센서</t>
        </is>
      </c>
      <c r="AD13" t="inlineStr">
        <is>
          <t>2창고</t>
        </is>
      </c>
      <c r="AE13" t="n">
        <v>8</v>
      </c>
      <c r="AF13" t="n">
        <v>18500</v>
      </c>
      <c r="AG13" t="n">
        <v>148000</v>
      </c>
    </row>
    <row r="14" ht="30" customHeight="1">
      <c r="A14" s="18" t="inlineStr">
        <is>
          <t>계산작업</t>
        </is>
      </c>
      <c r="B14" s="32" t="inlineStr">
        <is>
          <t>4. [표4] 설비 사용 연수 [C39:C44]</t>
        </is>
      </c>
      <c r="C14" s="18" t="n">
        <v>8</v>
      </c>
      <c r="D14" s="18" t="inlineStr">
        <is>
          <t>자동</t>
        </is>
      </c>
      <c r="E14" s="33">
        <f>IF(COUNTIF('계산작업'!$AB$39:$AB$44,TRUE)=6,8,0)</f>
        <v/>
      </c>
      <c r="F14" s="34" t="inlineStr">
        <is>
          <t>자동 — 6칸 모두 맞아야 8점</t>
        </is>
      </c>
      <c r="AA14" s="16" t="n">
        <v>46277</v>
      </c>
      <c r="AB14" t="inlineStr">
        <is>
          <t>PN-310</t>
        </is>
      </c>
      <c r="AC14" t="inlineStr">
        <is>
          <t>공압실린더</t>
        </is>
      </c>
      <c r="AD14" t="inlineStr">
        <is>
          <t>2창고</t>
        </is>
      </c>
      <c r="AE14" t="n">
        <v>4</v>
      </c>
      <c r="AF14" t="n">
        <v>42000</v>
      </c>
      <c r="AG14" t="n">
        <v>168000</v>
      </c>
    </row>
    <row r="15" ht="30" customHeight="1">
      <c r="A15" s="18" t="inlineStr">
        <is>
          <t>계산작업</t>
        </is>
      </c>
      <c r="B15" s="32" t="inlineStr">
        <is>
          <t>5. [표5] 2창고 대량 입고 합계 [G49]</t>
        </is>
      </c>
      <c r="C15" s="18" t="n">
        <v>8</v>
      </c>
      <c r="D15" s="18" t="inlineStr">
        <is>
          <t>자동</t>
        </is>
      </c>
      <c r="E15" s="33">
        <f>IF(COUNTIF('계산작업'!$AB$49:$AB$49,TRUE)=1,8,0)</f>
        <v/>
      </c>
      <c r="F15" s="34" t="inlineStr">
        <is>
          <t>자동 — 1칸 모두 맞아야 8점</t>
        </is>
      </c>
      <c r="AA15" s="16" t="n">
        <v>46279</v>
      </c>
      <c r="AB15" t="inlineStr">
        <is>
          <t>MT-102</t>
        </is>
      </c>
      <c r="AC15" t="inlineStr">
        <is>
          <t>SM45C 환봉</t>
        </is>
      </c>
      <c r="AD15" t="inlineStr">
        <is>
          <t>1창고</t>
        </is>
      </c>
      <c r="AE15" t="n">
        <v>120</v>
      </c>
      <c r="AF15" t="n">
        <v>5200</v>
      </c>
      <c r="AG15" t="n">
        <v>624000</v>
      </c>
    </row>
    <row r="16" ht="30" customHeight="1">
      <c r="A16" s="18" t="inlineStr">
        <is>
          <t>분석작업-1</t>
        </is>
      </c>
      <c r="B16" s="32" t="inlineStr">
        <is>
          <t>시나리오 1) B4 이름이 '할인율', B8 이름이 '이익'</t>
        </is>
      </c>
      <c r="C16" s="18" t="n">
        <v>5</v>
      </c>
      <c r="D16" s="18" t="inlineStr">
        <is>
          <t>스스로</t>
        </is>
      </c>
      <c r="E16" s="35">
        <f>IF(G16="O",C16,0)</f>
        <v/>
      </c>
      <c r="F16" s="34" t="inlineStr">
        <is>
          <t>이름 상자 확인</t>
        </is>
      </c>
      <c r="G16" s="36" t="n"/>
      <c r="AA16" s="16" t="n">
        <v>46281</v>
      </c>
      <c r="AB16" t="inlineStr">
        <is>
          <t>PN-311</t>
        </is>
      </c>
      <c r="AC16" t="inlineStr">
        <is>
          <t>솔레노이드밸브</t>
        </is>
      </c>
      <c r="AD16" t="inlineStr">
        <is>
          <t>2창고</t>
        </is>
      </c>
      <c r="AE16" t="n">
        <v>6</v>
      </c>
      <c r="AF16" t="n">
        <v>35000</v>
      </c>
      <c r="AG16" t="n">
        <v>210000</v>
      </c>
    </row>
    <row r="17" ht="30" customHeight="1">
      <c r="A17" s="18" t="inlineStr">
        <is>
          <t>분석작업-1</t>
        </is>
      </c>
      <c r="B17" s="32" t="inlineStr">
        <is>
          <t>시나리오 2) [시나리오 요약] 시트가 있고 할인확대 이익 3,000,000 · 할인축소 5,400,000</t>
        </is>
      </c>
      <c r="C17" s="18" t="n">
        <v>5</v>
      </c>
      <c r="D17" s="18" t="inlineStr">
        <is>
          <t>스스로</t>
        </is>
      </c>
      <c r="E17" s="35">
        <f>IF(G17="O",C17,0)</f>
        <v/>
      </c>
      <c r="F17" s="34" t="inlineStr">
        <is>
          <t>요약 표의 결과 셀</t>
        </is>
      </c>
      <c r="G17" s="36" t="n"/>
      <c r="AA17" s="16" t="n">
        <v>46283</v>
      </c>
      <c r="AB17" t="inlineStr">
        <is>
          <t>EL-207</t>
        </is>
      </c>
      <c r="AC17" t="inlineStr">
        <is>
          <t>서보모터</t>
        </is>
      </c>
      <c r="AD17" t="inlineStr">
        <is>
          <t>3창고</t>
        </is>
      </c>
      <c r="AE17" t="n">
        <v>3</v>
      </c>
      <c r="AF17" t="n">
        <v>185000</v>
      </c>
      <c r="AG17" t="n">
        <v>555000</v>
      </c>
    </row>
    <row r="18" ht="30" customHeight="1">
      <c r="A18" s="18" t="inlineStr">
        <is>
          <t>분석작업-2</t>
        </is>
      </c>
      <c r="B18" s="32" t="inlineStr">
        <is>
          <t>정렬 — 창고 오름차순 · 수량 내림차순</t>
        </is>
      </c>
      <c r="C18" s="18" t="n">
        <v>10</v>
      </c>
      <c r="D18" s="18" t="inlineStr">
        <is>
          <t>자동</t>
        </is>
      </c>
      <c r="E18" s="33">
        <f>IF(SUMPRODUCT(--('분석작업-2'!$A$4:$A$15='채점표'!$AA$19:$AA$30))=12,10,0)</f>
        <v/>
      </c>
      <c r="F18" s="34" t="inlineStr">
        <is>
          <t>자동</t>
        </is>
      </c>
    </row>
    <row r="19" ht="44" customHeight="1">
      <c r="A19" s="18" t="inlineStr">
        <is>
          <t>기타작업-1</t>
        </is>
      </c>
      <c r="B19" s="32" t="inlineStr">
        <is>
          <t>매크로 1) [F4:F10] 에 금액(수량×단가)을 구하는 '금액' 매크로 — [H3] 위치 단추(텍스트 '금액')에 연결</t>
        </is>
      </c>
      <c r="C19" s="18" t="n">
        <v>5</v>
      </c>
      <c r="D19" s="18" t="inlineStr">
        <is>
          <t>스스로</t>
        </is>
      </c>
      <c r="E19" s="35">
        <f>IF(G19="O",C19,0)</f>
        <v/>
      </c>
      <c r="F19" s="34" t="inlineStr">
        <is>
          <t>F4 에 =D4*E4</t>
        </is>
      </c>
      <c r="G19" s="36" t="n"/>
      <c r="AA19" t="inlineStr">
        <is>
          <t>MT-101</t>
        </is>
      </c>
    </row>
    <row r="20" ht="44" customHeight="1">
      <c r="A20" s="18" t="inlineStr">
        <is>
          <t>기타작업-1</t>
        </is>
      </c>
      <c r="B20" s="32" t="inlineStr">
        <is>
          <t>매크로 2) [F4:F10] 에 쉼표 스타일(,)을 적용하는 '쉼표' 매크로 — [H6] 위치 단추(텍스트 '쉼표')에 연결</t>
        </is>
      </c>
      <c r="C20" s="18" t="n">
        <v>5</v>
      </c>
      <c r="D20" s="18" t="inlineStr">
        <is>
          <t>스스로</t>
        </is>
      </c>
      <c r="E20" s="35">
        <f>IF(G20="O",C20,0)</f>
        <v/>
      </c>
      <c r="F20" s="34" t="inlineStr">
        <is>
          <t>단추를 누르면 102,000 처럼</t>
        </is>
      </c>
      <c r="G20" s="36" t="n"/>
      <c r="AA20" t="inlineStr">
        <is>
          <t>MT-102</t>
        </is>
      </c>
    </row>
    <row r="21" ht="30" customHeight="1">
      <c r="A21" s="18" t="inlineStr">
        <is>
          <t>기타작업-2</t>
        </is>
      </c>
      <c r="B21" s="32" t="inlineStr">
        <is>
          <t>차트 1) '3창고' 데이터를 차트에서 제외하시오</t>
        </is>
      </c>
      <c r="C21" s="18" t="n">
        <v>2</v>
      </c>
      <c r="D21" s="18" t="inlineStr">
        <is>
          <t>스스로</t>
        </is>
      </c>
      <c r="E21" s="35">
        <f>IF(G21="O",C21,0)</f>
        <v/>
      </c>
      <c r="F21" s="34" t="inlineStr">
        <is>
          <t>가로축에 1·2·4창고만</t>
        </is>
      </c>
      <c r="G21" s="36" t="n"/>
      <c r="AA21" t="inlineStr">
        <is>
          <t>MT-103</t>
        </is>
      </c>
    </row>
    <row r="22" ht="30" customHeight="1">
      <c r="A22" s="18" t="inlineStr">
        <is>
          <t>기타작업-2</t>
        </is>
      </c>
      <c r="B22" s="32" t="inlineStr">
        <is>
          <t>차트 2) '재고' 계열을 삭제하시오</t>
        </is>
      </c>
      <c r="C22" s="18" t="n">
        <v>2</v>
      </c>
      <c r="D22" s="18" t="inlineStr">
        <is>
          <t>스스로</t>
        </is>
      </c>
      <c r="E22" s="35">
        <f>IF(G22="O",C22,0)</f>
        <v/>
      </c>
      <c r="F22" s="34" t="inlineStr">
        <is>
          <t>범례에 입고·출고만</t>
        </is>
      </c>
      <c r="G22" s="36" t="n"/>
      <c r="AA22" t="inlineStr">
        <is>
          <t>MT-104</t>
        </is>
      </c>
    </row>
    <row r="23" ht="30" customHeight="1">
      <c r="A23" s="18" t="inlineStr">
        <is>
          <t>기타작업-2</t>
        </is>
      </c>
      <c r="B23" s="32" t="inlineStr">
        <is>
          <t>차트 3) 차트 제목 '창고별 입출고' · 글꼴 크기 14 · 굵게</t>
        </is>
      </c>
      <c r="C23" s="18" t="n">
        <v>2</v>
      </c>
      <c r="D23" s="18" t="inlineStr">
        <is>
          <t>스스로</t>
        </is>
      </c>
      <c r="E23" s="35">
        <f>IF(G23="O",C23,0)</f>
        <v/>
      </c>
      <c r="F23" s="34" t="inlineStr">
        <is>
          <t>위쪽 제목</t>
        </is>
      </c>
      <c r="G23" s="36" t="n"/>
      <c r="AA23" t="inlineStr">
        <is>
          <t>PN-312</t>
        </is>
      </c>
    </row>
    <row r="24" ht="30" customHeight="1">
      <c r="A24" s="18" t="inlineStr">
        <is>
          <t>기타작업-2</t>
        </is>
      </c>
      <c r="B24" s="32" t="inlineStr">
        <is>
          <t>차트 4) 세로(값) 축 제목 '수량(EA)' 을 '세로 제목' 으로 추가하시오</t>
        </is>
      </c>
      <c r="C24" s="18" t="n">
        <v>2</v>
      </c>
      <c r="D24" s="18" t="inlineStr">
        <is>
          <t>스스로</t>
        </is>
      </c>
      <c r="E24" s="35">
        <f>IF(G24="O",C24,0)</f>
        <v/>
      </c>
      <c r="F24" s="34" t="inlineStr">
        <is>
          <t>왼쪽 세로 글자</t>
        </is>
      </c>
      <c r="G24" s="36" t="n"/>
      <c r="AA24" t="inlineStr">
        <is>
          <t>EL-205</t>
        </is>
      </c>
    </row>
    <row r="25" ht="30" customHeight="1">
      <c r="A25" s="18" t="inlineStr">
        <is>
          <t>기타작업-2</t>
        </is>
      </c>
      <c r="B25" s="32" t="inlineStr">
        <is>
          <t>차트 5) '출고' 계열에 '안쪽 끝에' 데이터 레이블을 표시하시오</t>
        </is>
      </c>
      <c r="C25" s="18" t="n">
        <v>2</v>
      </c>
      <c r="D25" s="18" t="inlineStr">
        <is>
          <t>스스로</t>
        </is>
      </c>
      <c r="E25" s="35">
        <f>IF(G25="O",C25,0)</f>
        <v/>
      </c>
      <c r="F25" s="34" t="inlineStr">
        <is>
          <t>막대 안쪽 위에 숫자</t>
        </is>
      </c>
      <c r="G25" s="36" t="n"/>
      <c r="AA25" t="inlineStr">
        <is>
          <t>PN-311</t>
        </is>
      </c>
    </row>
    <row r="26">
      <c r="AA26" t="inlineStr">
        <is>
          <t>PN-310</t>
        </is>
      </c>
    </row>
    <row r="27">
      <c r="B27" s="37" t="inlineStr">
        <is>
          <t>합계 (100점 만점 · 70점 이상 합격)</t>
        </is>
      </c>
      <c r="E27" s="38">
        <f>SUM(E4:E25)</f>
        <v/>
      </c>
      <c r="F27" s="37">
        <f>IF(E27&gt;=70,"🎉 합격","불합격 — 틀린 작업의 [정답·해설]을 보세요")</f>
        <v/>
      </c>
      <c r="AA27" t="inlineStr">
        <is>
          <t>BL-402</t>
        </is>
      </c>
    </row>
    <row r="28">
      <c r="AA28" t="inlineStr">
        <is>
          <t>BL-401</t>
        </is>
      </c>
    </row>
    <row r="29" ht="30" customHeight="1">
      <c r="A29" s="6" t="inlineStr">
        <is>
          <t>'스스로' 문항은 [확인 방법] 을 보고 실제로 그렇게 되어 있으면 O. 한 군데라도 다르면 X (실제 시험은 부분 점수 없음).</t>
        </is>
      </c>
      <c r="AA29" t="inlineStr">
        <is>
          <t>EL-206</t>
        </is>
      </c>
    </row>
    <row r="30">
      <c r="AA30" t="inlineStr">
        <is>
          <t>EL-207</t>
        </is>
      </c>
    </row>
  </sheetData>
  <mergeCells count="2">
    <mergeCell ref="A1:F1"/>
    <mergeCell ref="A29:G29"/>
  </mergeCells>
  <conditionalFormatting sqref="F27">
    <cfRule type="expression" priority="1" dxfId="0">
      <formula>ISNUMBER(SEARCH("합격",F27))*(E27&gt;=70)</formula>
    </cfRule>
  </conditionalFormatting>
  <dataValidations count="1">
    <dataValidation sqref="G5 G6 G7 G9 G16 G17 G19 G20 G21 G22 G23 G24 G25" showDropDown="0" showInputMessage="0" showErrorMessage="0" allowBlank="1" type="list">
      <formula1>"O,X"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 ht="26" customHeight="1">
      <c r="A1" s="12" t="inlineStr">
        <is>
          <t>정답·해설 — 제3회 (먼저 스스로 끝까지 풀고 보세요)</t>
        </is>
      </c>
    </row>
    <row r="3" ht="24" customHeight="1">
      <c r="A3" s="30" t="inlineStr">
        <is>
          <t>작업</t>
        </is>
      </c>
      <c r="B3" s="30" t="inlineStr">
        <is>
          <t>무엇을</t>
        </is>
      </c>
      <c r="C3" s="30" t="inlineStr">
        <is>
          <t>어떻게 · 정답</t>
        </is>
      </c>
    </row>
    <row r="4" ht="22" customHeight="1">
      <c r="A4" s="25" t="inlineStr">
        <is>
          <t>기본작업-1</t>
        </is>
      </c>
      <c r="B4" s="32" t="inlineStr">
        <is>
          <t>자료 입력</t>
        </is>
      </c>
      <c r="C4" s="32" t="inlineStr">
        <is>
          <t>문제지의 자료를 A4 부터 한 칸씩. 날짜는 2026-03-02 처럼 - 로 입력하면 날짜로 들어갑니다.</t>
        </is>
      </c>
    </row>
    <row r="5" ht="22" customHeight="1">
      <c r="A5" s="25" t="inlineStr">
        <is>
          <t>기본작업-2</t>
        </is>
      </c>
      <c r="B5" s="32" t="inlineStr">
        <is>
          <t>1) [A1:G1] 셀을 병합하여 가운데 맞춤, 글꼴 '궁서체' · 18pt · 굵게</t>
        </is>
      </c>
      <c r="C5" s="32" t="inlineStr">
        <is>
          <t>제목 칸이 합쳐지고 궁서체</t>
        </is>
      </c>
    </row>
    <row r="6" ht="22" customHeight="1">
      <c r="A6" s="25" t="inlineStr">
        <is>
          <t>기본작업-2</t>
        </is>
      </c>
      <c r="B6" s="32" t="inlineStr">
        <is>
          <t>2) [A3:G3] 영역은 가운데 맞춤, 글꼴 색 '흰색', 채우기 색 '진한 파랑'</t>
        </is>
      </c>
      <c r="C6" s="32" t="inlineStr">
        <is>
          <t>머리글이 흰 글자·파란 바탕</t>
        </is>
      </c>
    </row>
    <row r="7" ht="22" customHeight="1">
      <c r="A7" s="25" t="inlineStr">
        <is>
          <t>기본작업-2</t>
        </is>
      </c>
      <c r="B7" s="32" t="inlineStr">
        <is>
          <t>3) [E4:E10] 영역에 사용자 지정 서식으로 숫자 뒤에 "EA" 표시 (예: 30EA, 0 이면 0EA)</t>
        </is>
      </c>
      <c r="C7" s="32" t="inlineStr">
        <is>
          <t>E4 가 30EA</t>
        </is>
      </c>
    </row>
    <row r="8" ht="22" customHeight="1">
      <c r="A8" s="25" t="inlineStr">
        <is>
          <t>기본작업-2</t>
        </is>
      </c>
      <c r="B8" s="32" t="inlineStr">
        <is>
          <t>4) [B4:B10] 영역의 이름을 '자재코드' 로 정의</t>
        </is>
      </c>
      <c r="C8" s="32" t="inlineStr">
        <is>
          <t>자동 채점 — 이름 상자에 '자재코드'</t>
        </is>
      </c>
    </row>
    <row r="9" ht="22" customHeight="1">
      <c r="A9" s="25" t="inlineStr">
        <is>
          <t>기본작업-2</t>
        </is>
      </c>
      <c r="B9" s="32" t="inlineStr">
        <is>
          <t>5) [A3:G10] 영역에 '모든 테두리', [A10:G10] 아래쪽은 '굵은 아래쪽 테두리'</t>
        </is>
      </c>
      <c r="C9" s="32" t="inlineStr">
        <is>
          <t>마지막 줄 아래가 굵은 선</t>
        </is>
      </c>
    </row>
    <row r="10" ht="45" customHeight="1">
      <c r="A10" s="25" t="inlineStr">
        <is>
          <t>기본작업-3</t>
        </is>
      </c>
      <c r="B10" s="32" t="inlineStr">
        <is>
          <t>고급 필터</t>
        </is>
      </c>
      <c r="C10" s="32" t="inlineStr">
        <is>
          <t>조건: A15 '창고' · B15 '금액' / A16 '2창고' / B17 '&gt;=500000' (다른 줄 = 또는)
[데이터] → [고급] → '다른 장소에 복사' · 목록 범위 A3:G12 · 조건 범위 · 복사 위치 A19</t>
        </is>
      </c>
    </row>
    <row r="11" ht="22" customHeight="1">
      <c r="A11" s="25" t="inlineStr">
        <is>
          <t>계산작업</t>
        </is>
      </c>
      <c r="B11" s="32" t="inlineStr">
        <is>
          <t>1. [표1] 재고 상태 → [E3:E10]</t>
        </is>
      </c>
      <c r="C11" s="39" t="inlineStr">
        <is>
          <t>=IF(C3&lt;D3,"발주",IF(C3&lt;D3*1.5,"주의","정상"))   (첫 칸에 넣고 끝까지 끌어내리기)</t>
        </is>
      </c>
    </row>
    <row r="12" ht="30" customHeight="1">
      <c r="A12" s="25" t="inlineStr">
        <is>
          <t>계산작업</t>
        </is>
      </c>
      <c r="B12" s="32" t="inlineStr">
        <is>
          <t>2. [표2] 출고 금액 → [D15:D20]</t>
        </is>
      </c>
      <c r="C12" s="39" t="inlineStr">
        <is>
          <t>=INDEX($G$15:$G$18,MATCH(B15,$F$15:$F$18,0))*C15   (첫 칸에 넣고 끝까지 끌어내리기)</t>
        </is>
      </c>
    </row>
    <row r="13" ht="22" customHeight="1">
      <c r="A13" s="25" t="inlineStr">
        <is>
          <t>계산작업</t>
        </is>
      </c>
      <c r="B13" s="32" t="inlineStr">
        <is>
          <t>3. [표3] 분류별 품목 비율 → [E25:E27]</t>
        </is>
      </c>
      <c r="C13" s="39" t="inlineStr">
        <is>
          <t>=COUNTIF($B$25:$B$34,D25)/COUNTA($B$25:$B$34)   (첫 칸에 넣고 끝까지 끌어내리기)</t>
        </is>
      </c>
    </row>
    <row r="14" ht="22" customHeight="1">
      <c r="A14" s="25" t="inlineStr">
        <is>
          <t>계산작업</t>
        </is>
      </c>
      <c r="B14" s="32" t="inlineStr">
        <is>
          <t>4. [표4] 설비 사용 연수 → [C39:C44]</t>
        </is>
      </c>
      <c r="C14" s="39" t="inlineStr">
        <is>
          <t>=YEAR($E$39)-YEAR(B39)&amp;"년"   (첫 칸에 넣고 끝까지 끌어내리기)</t>
        </is>
      </c>
    </row>
    <row r="15" ht="22" customHeight="1">
      <c r="A15" s="25" t="inlineStr">
        <is>
          <t>계산작업</t>
        </is>
      </c>
      <c r="B15" s="32" t="inlineStr">
        <is>
          <t>5. [표5] 2창고 대량 입고 합계 → [G49]</t>
        </is>
      </c>
      <c r="C15" s="39" t="inlineStr">
        <is>
          <t>=DSUM(A48:C54,3,E48:F49)</t>
        </is>
      </c>
    </row>
    <row r="16" ht="75" customHeight="1">
      <c r="A16" s="25" t="inlineStr">
        <is>
          <t>분석작업-1</t>
        </is>
      </c>
      <c r="B16" s="32" t="inlineStr">
        <is>
          <t>[분석작업-1] 시트에서 할인율[B4]에 따른 이익[B8]의 변화를 시나리오로 만드시오.</t>
        </is>
      </c>
      <c r="C16" s="32" t="inlineStr">
        <is>
          <t>B4 이름 상자에 '할인율', B8 에 '이익'
[데이터] → [가상 분석] → [시나리오 관리자] → [추가] : 이름 '할인확대', 변경 셀 B4, 값 0.15
다시 [추가] : '할인축소', 값 0.05
[요약] → 결과 셀 B8 → 확인</t>
        </is>
      </c>
    </row>
    <row r="17" ht="45" customHeight="1">
      <c r="A17" s="25" t="inlineStr">
        <is>
          <t>분석작업-2</t>
        </is>
      </c>
      <c r="B17" s="32" t="inlineStr">
        <is>
          <t>[분석작업-2] 시트의 [A3:F15] 표를 창고의 오름차순으로, 창고가 같으면 수량의 내림차순으로 정렬하시오.</t>
        </is>
      </c>
      <c r="C17" s="32" t="inlineStr">
        <is>
          <t>표 안 아무 칸 → [데이터] → [정렬]
첫째 기준 '창고' 오름차순
[기준 추가] → '수량' 내림차순 → 확인</t>
        </is>
      </c>
    </row>
    <row r="18" ht="45" customHeight="1">
      <c r="A18" s="25" t="inlineStr">
        <is>
          <t>기타작업-1</t>
        </is>
      </c>
      <c r="B18" s="32" t="inlineStr">
        <is>
          <t>매크로 만들기 (공통 순서)</t>
        </is>
      </c>
      <c r="C18" s="32" t="inlineStr">
        <is>
          <t>[개발 도구] → [삽입] → 단추(양식 컨트롤) 또는 [삽입] → [도형] 을 그리고 → 매크로 이름 입력 → [기록]
→ 할 일을 한 번 하고 → [기록 중지] → 단추 텍스트 바꾸기.  (A1 등 엉뚱한 칸을 누르지 않도록)</t>
        </is>
      </c>
    </row>
    <row r="19" ht="22" customHeight="1">
      <c r="A19" s="25" t="inlineStr">
        <is>
          <t>기타작업-2</t>
        </is>
      </c>
      <c r="B19" s="32" t="inlineStr">
        <is>
          <t>1) '3창고' 데이터를 차트에서 제외하시오</t>
        </is>
      </c>
      <c r="C19" s="32" t="inlineStr">
        <is>
          <t>가로축에 1·2·4창고만</t>
        </is>
      </c>
    </row>
    <row r="20" ht="22" customHeight="1">
      <c r="A20" s="25" t="inlineStr">
        <is>
          <t>기타작업-2</t>
        </is>
      </c>
      <c r="B20" s="32" t="inlineStr">
        <is>
          <t>2) '재고' 계열을 삭제하시오</t>
        </is>
      </c>
      <c r="C20" s="32" t="inlineStr">
        <is>
          <t>범례에 입고·출고만</t>
        </is>
      </c>
    </row>
    <row r="21" ht="22" customHeight="1">
      <c r="A21" s="25" t="inlineStr">
        <is>
          <t>기타작업-2</t>
        </is>
      </c>
      <c r="B21" s="32" t="inlineStr">
        <is>
          <t>3) 차트 제목 '창고별 입출고' · 글꼴 크기 14 · 굵게</t>
        </is>
      </c>
      <c r="C21" s="32" t="inlineStr">
        <is>
          <t>위쪽 제목</t>
        </is>
      </c>
    </row>
    <row r="22" ht="22" customHeight="1">
      <c r="A22" s="25" t="inlineStr">
        <is>
          <t>기타작업-2</t>
        </is>
      </c>
      <c r="B22" s="32" t="inlineStr">
        <is>
          <t>4) 세로(값) 축 제목 '수량(EA)' 을 '세로 제목' 으로 추가하시오</t>
        </is>
      </c>
      <c r="C22" s="32" t="inlineStr">
        <is>
          <t>왼쪽 세로 글자</t>
        </is>
      </c>
    </row>
    <row r="23" ht="22" customHeight="1">
      <c r="A23" s="25" t="inlineStr">
        <is>
          <t>기타작업-2</t>
        </is>
      </c>
      <c r="B23" s="32" t="inlineStr">
        <is>
          <t>5) '출고' 계열에 '안쪽 끝에' 데이터 레이블을 표시하시오</t>
        </is>
      </c>
      <c r="C23" s="32" t="inlineStr">
        <is>
          <t>막대 안쪽 위에 숫자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2026-09-28T00:39:55Z</dcterms:created>
  <dcterms:modified xmlns:dcterms="http://purl.org/dc/terms/" xmlns:xsi="http://www.w3.org/2001/XMLSchema-instance" xsi:type="dcterms:W3CDTF">2026-09-28T00:39:55Z</dcterms:modified>
</cp:coreProperties>
</file>