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문제지" sheetId="2" state="visible" r:id="rId2"/>
    <sheet xmlns:r="http://schemas.openxmlformats.org/officeDocument/2006/relationships" name="기본작업-1" sheetId="3" state="visible" r:id="rId3"/>
    <sheet xmlns:r="http://schemas.openxmlformats.org/officeDocument/2006/relationships" name="기본작업-2" sheetId="4" state="visible" r:id="rId4"/>
    <sheet xmlns:r="http://schemas.openxmlformats.org/officeDocument/2006/relationships" name="기본작업-3" sheetId="5" state="visible" r:id="rId5"/>
    <sheet xmlns:r="http://schemas.openxmlformats.org/officeDocument/2006/relationships" name="계산작업" sheetId="6" state="visible" r:id="rId6"/>
    <sheet xmlns:r="http://schemas.openxmlformats.org/officeDocument/2006/relationships" name="분석작업-1" sheetId="7" state="visible" r:id="rId7"/>
    <sheet xmlns:r="http://schemas.openxmlformats.org/officeDocument/2006/relationships" name="분석작업-2" sheetId="8" state="visible" r:id="rId8"/>
    <sheet xmlns:r="http://schemas.openxmlformats.org/officeDocument/2006/relationships" name="기타작업-1" sheetId="9" state="visible" r:id="rId9"/>
    <sheet xmlns:r="http://schemas.openxmlformats.org/officeDocument/2006/relationships" name="기타작업-2" sheetId="10" state="visible" r:id="rId10"/>
    <sheet xmlns:r="http://schemas.openxmlformats.org/officeDocument/2006/relationships" name="채점표" sheetId="11" state="visible" r:id="rId11"/>
    <sheet xmlns:r="http://schemas.openxmlformats.org/officeDocument/2006/relationships" name="정답·해설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</font>
    <font>
      <b val="1"/>
      <color rgb="001F3864"/>
      <sz val="11"/>
    </font>
    <font>
      <i val="1"/>
      <color rgb="00A6A6A6"/>
    </font>
    <font>
      <b val="1"/>
      <color rgb="001F3864"/>
      <sz val="13"/>
    </font>
    <font>
      <b val="1"/>
      <color rgb="001F3864"/>
      <sz val="16"/>
    </font>
    <font>
      <color rgb="00806000"/>
      <sz val="10"/>
    </font>
    <font>
      <b val="1"/>
      <color rgb="00FFFFFF"/>
      <sz val="12"/>
    </font>
    <font>
      <b val="1"/>
      <color rgb="002E5C8A"/>
    </font>
    <font>
      <sz val="10.5"/>
    </font>
    <font>
      <b val="1"/>
      <color rgb="00FFFFFF"/>
      <sz val="11"/>
    </font>
    <font>
      <color rgb="007F7F7F"/>
      <sz val="9.5"/>
    </font>
    <font>
      <b val="1"/>
      <sz val="12"/>
    </font>
    <font>
      <name val="Consolas"/>
      <b val="1"/>
      <color rgb="001F4E79"/>
      <sz val="10"/>
    </font>
    <font>
      <sz val="11"/>
    </font>
    <font>
      <b val="1"/>
      <color rgb="002E5C8A"/>
      <sz val="12"/>
    </font>
  </fonts>
  <fills count="8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F8E1"/>
      </patternFill>
    </fill>
    <fill>
      <patternFill patternType="solid">
        <fgColor rgb="00DDEBF7"/>
      </patternFill>
    </fill>
    <fill>
      <patternFill patternType="solid">
        <fgColor rgb="00E7EE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37">
    <xf numFmtId="0" fontId="0" fillId="0" borderId="0" pivotButton="0" quotePrefix="0" xfId="0"/>
    <xf numFmtId="0" fontId="7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6" borderId="1" pivotButton="0" quotePrefix="0" xfId="0"/>
    <xf numFmtId="0" fontId="11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2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4" borderId="1" pivotButton="0" quotePrefix="0" xfId="0"/>
    <xf numFmtId="0" fontId="6" fillId="0" borderId="0" pivotButton="0" quotePrefix="0" xfId="0"/>
    <xf numFmtId="3" fontId="0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4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15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ont>
        <b val="1"/>
        <color rgb="00006100"/>
      </font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'기타작업-2'!B3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'기타작업-2'!$A$4:$A$7</f>
            </numRef>
          </cat>
          <val>
            <numRef>
              <f>'기타작업-2'!$B$4:$B$7</f>
            </numRef>
          </val>
        </ser>
        <ser>
          <idx val="1"/>
          <order val="1"/>
          <tx>
            <strRef>
              <f>'기타작업-2'!C3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'기타작업-2'!$A$4:$A$7</f>
            </numRef>
          </cat>
          <val>
            <numRef>
              <f>'기타작업-2'!$C$4:$C$7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실전 모의고사 제2회 — 생산 라인</t>
        </is>
      </c>
    </row>
    <row r="3" ht="19" customHeight="1">
      <c r="B3" s="2" t="inlineStr">
        <is>
          <t>컴활 2급 실기와 같은 시트 이름 · 같은 배점입니다. 시간 40분, 70점 이상이면 합격.</t>
        </is>
      </c>
    </row>
    <row r="4" ht="24" customHeight="1">
      <c r="B4" s="3" t="inlineStr">
        <is>
          <t>순서</t>
        </is>
      </c>
    </row>
    <row r="5" ht="19" customHeight="1">
      <c r="B5" s="2" t="inlineStr">
        <is>
          <t>① [문제지] 시트에서 문제를 읽고 → 각 작업 시트(기본작업-1 …)에서 풉니다.</t>
        </is>
      </c>
    </row>
    <row r="6" ht="19" customHeight="1">
      <c r="B6" s="2" t="inlineStr">
        <is>
          <t>② 계산작업의 노란 칸에는 0 이 들어 있습니다. 0 을 지우고 첫 칸에 수식 → 끝까지 끌어내리기.</t>
        </is>
      </c>
    </row>
    <row r="7" ht="19" customHeight="1">
      <c r="B7" s="2" t="inlineStr">
        <is>
          <t>③ 다 풀었으면 [채점표] — 자동 칸은 저절로 점수가 나오고, '스스로' 칸은 [확인 방법] 을 보고 O / X 를 고릅니다.</t>
        </is>
      </c>
    </row>
    <row r="8" ht="19" customHeight="1">
      <c r="B8" s="2" t="inlineStr">
        <is>
          <t>④ 틀린 것은 [정답·해설] 에서 확인합니다.</t>
        </is>
      </c>
    </row>
    <row r="9" ht="34" customHeight="1">
      <c r="B9" s="4" t="inlineStr">
        <is>
          <t>매크로를 만들면 '다른 이름으로 저장' 에서 파일 형식을 Excel 매크로 사용 통합 문서(*.xlsm) 로 바꿔야 매크로가 남습니다.</t>
        </is>
      </c>
    </row>
    <row r="10" ht="34" customHeight="1">
      <c r="B10" s="4" t="inlineStr">
        <is>
          <t>값이 0 으로만 보이면 Ctrl + Alt + F9. 자동 채점 칸이 안 바뀌어 보일 때도 같습니다.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10" customWidth="1" min="3" max="3"/>
  </cols>
  <sheetData>
    <row r="1" ht="26" customHeight="1">
      <c r="A1" s="5" t="inlineStr">
        <is>
          <t>컴퓨터활용능력 2급 실기 · 실전 모의고사 제2회 (생산 라인)</t>
        </is>
      </c>
    </row>
    <row r="2" ht="30" customHeight="1">
      <c r="A2" s="6" t="inlineStr">
        <is>
          <t>시험 시간 40분 · 100점 만점 · 70점 이상 합격.  시작 시각을 적어 두고 시작하세요 →  시작 [      :      ]  끝 [      :      ]      다 풀면 [채점표] 시트에서 점수를 확인합니다.</t>
        </is>
      </c>
    </row>
    <row r="4" ht="22" customHeight="1">
      <c r="A4" s="7" t="inlineStr">
        <is>
          <t xml:space="preserve">  기본작업-1  ·  5점</t>
        </is>
      </c>
    </row>
    <row r="5" ht="18" customHeight="1">
      <c r="B5" s="8" t="inlineStr"/>
      <c r="C5" s="9" t="inlineStr">
        <is>
          <t>[기본작업-1] 시트에 다음 자료를 [A4] 부터 그대로 입력하시오. (날짜는 2026-03-02 처럼)</t>
        </is>
      </c>
    </row>
    <row r="6">
      <c r="C6" s="10" t="inlineStr">
        <is>
          <t>지시번호  |  제품명  |  라인  |  지시일  |  수량  |  납기</t>
        </is>
      </c>
    </row>
    <row r="7">
      <c r="C7" s="11" t="inlineStr">
        <is>
          <t>WO-2610-01  |  감속기어  |  A  |  2026-10-01  |  300  |  2026-10-08</t>
        </is>
      </c>
    </row>
    <row r="8">
      <c r="C8" s="11" t="inlineStr">
        <is>
          <t>WO-2610-02  |  구동축  |  B  |  2026-10-01  |  150  |  2026-10-10</t>
        </is>
      </c>
    </row>
    <row r="9">
      <c r="C9" s="11" t="inlineStr">
        <is>
          <t>WO-2610-03  |  밸브블록  |  C  |  2026-10-02  |  420  |  2026-10-09</t>
        </is>
      </c>
    </row>
    <row r="10">
      <c r="C10" s="11" t="inlineStr">
        <is>
          <t>WO-2610-04  |  베어링유닛  |  A  |  2026-10-05  |  500  |  2026-10-14</t>
        </is>
      </c>
    </row>
    <row r="11">
      <c r="C11" s="11" t="inlineStr">
        <is>
          <t>WO-2610-05  |  감속기어  |  B  |  2026-10-06  |  280  |  2026-10-13</t>
        </is>
      </c>
    </row>
    <row r="12">
      <c r="C12" s="11" t="inlineStr">
        <is>
          <t>WO-2610-06  |  커플링  |  C  |  2026-10-07  |  90  |  2026-10-12</t>
        </is>
      </c>
    </row>
    <row r="13" ht="30" customHeight="1">
      <c r="A13" s="6" t="inlineStr">
        <is>
          <t>↑ (비움) 칸은 아무것도 입력하지 않습니다.</t>
        </is>
      </c>
    </row>
    <row r="15" ht="22" customHeight="1">
      <c r="A15" s="7" t="inlineStr">
        <is>
          <t xml:space="preserve">  기본작업-2  ·  10점</t>
        </is>
      </c>
    </row>
    <row r="16" ht="18" customHeight="1">
      <c r="B16" s="8" t="inlineStr">
        <is>
          <t>1)</t>
        </is>
      </c>
      <c r="C16" s="9" t="inlineStr">
        <is>
          <t>[A1:G1] 셀을 병합하여 가운데 맞춤, 글꼴 '돋움' · 17pt · 밑줄</t>
        </is>
      </c>
    </row>
    <row r="17" ht="18" customHeight="1">
      <c r="B17" s="8" t="inlineStr">
        <is>
          <t>2)</t>
        </is>
      </c>
      <c r="C17" s="9" t="inlineStr">
        <is>
          <t>[A3:G3] 영역에 셀 스타일 '강조색1' 적용</t>
        </is>
      </c>
    </row>
    <row r="18" ht="18" customHeight="1">
      <c r="B18" s="8" t="inlineStr">
        <is>
          <t>3)</t>
        </is>
      </c>
      <c r="C18" s="9" t="inlineStr">
        <is>
          <t>[A4:A11] 영역에 사용자 지정 서식 "mm월 dd일(aaa)" 적용 (예: 09월 01일(화))</t>
        </is>
      </c>
    </row>
    <row r="19" ht="18" customHeight="1">
      <c r="B19" s="8" t="inlineStr">
        <is>
          <t>4)</t>
        </is>
      </c>
      <c r="C19" s="9" t="inlineStr">
        <is>
          <t>[G4:G11] 영역의 이름을 '불량률' 로 정의</t>
        </is>
      </c>
    </row>
    <row r="20" ht="18" customHeight="1">
      <c r="B20" s="8" t="inlineStr">
        <is>
          <t>5)</t>
        </is>
      </c>
      <c r="C20" s="9" t="inlineStr">
        <is>
          <t>[E3] 셀에 '실제 생산 수량' 이라는 메모 삽입 (항상 표시)</t>
        </is>
      </c>
    </row>
    <row r="21" ht="22" customHeight="1">
      <c r="A21" s="7" t="inlineStr">
        <is>
          <t xml:space="preserve">  기본작업-3  ·  5점</t>
        </is>
      </c>
    </row>
    <row r="22" ht="48" customHeight="1">
      <c r="B22" s="8" t="inlineStr"/>
      <c r="C22" s="9" t="inlineStr">
        <is>
          <t>[A4:G11] 영역에서 불량[F]이 8 이상인 행 전체에 글꼴 스타일 '굵게', 글꼴 색 '빨강' 을 적용하시오.
· 조건부 서식의 수식을 이용  · 규칙 유형은 '수식을 사용하여 서식을 지정할 셀 결정'</t>
        </is>
      </c>
    </row>
    <row r="23" ht="22" customHeight="1">
      <c r="A23" s="7" t="inlineStr">
        <is>
          <t xml:space="preserve">  계산작업  ·  40점 (각 8점)</t>
        </is>
      </c>
    </row>
    <row r="24" ht="32" customHeight="1">
      <c r="B24" s="8" t="inlineStr">
        <is>
          <t>1.</t>
        </is>
      </c>
      <c r="C24" s="9" t="inlineStr">
        <is>
          <t>[표1]에서 필기[B3:B10]와 실기[C3:C10]가 모두 60 이상이고 두 점수의 평균이 70 이상이면 "합격", 아니면 "불합격" 을 판정[D3:D10]에 표시하시오. → [D3:D10]  (IF, AND, AVERAGE 함수 사용)</t>
        </is>
      </c>
    </row>
    <row r="25" ht="32" customHeight="1">
      <c r="B25" s="8" t="inlineStr">
        <is>
          <t>2.</t>
        </is>
      </c>
      <c r="C25" s="9" t="inlineStr">
        <is>
          <t>[표2]에서 로트번호[A15:A20]의 4번째부터 두 글자 뒤에 "월" 을 붙여 생산월[C15:C20]에 표시하시오. (예: L2603-A-017 → 03월) → [C15:C20]  (MID 함수, &amp; 연산자 사용)</t>
        </is>
      </c>
    </row>
    <row r="26" ht="32" customHeight="1">
      <c r="B26" s="8" t="inlineStr">
        <is>
          <t>3.</t>
        </is>
      </c>
      <c r="C26" s="9" t="inlineStr">
        <is>
          <t>[표3]에서 라인[A25:A32]별 시간[C25:C32]의 평균을 소수 첫째 자리까지 올림하여 평균 시간[F25:F27]에 표시하시오. (라인 이름은 E열) → [F25:F27]  (ROUNDUP, AVERAGEIF 함수 사용)</t>
        </is>
      </c>
    </row>
    <row r="27" ht="32" customHeight="1">
      <c r="B27" s="8" t="inlineStr">
        <is>
          <t>4.</t>
        </is>
      </c>
      <c r="C27" s="9" t="inlineStr">
        <is>
          <t>[표4]에서 점수[C37:C42]와 오른쪽의 가로 등급표를 이용하여 등급[D37:D42]을 표시하시오. (점수가 기준값 이상인 구간의 등급) → [D37:D42]  (HLOOKUP 함수 사용)</t>
        </is>
      </c>
    </row>
    <row r="28" ht="32" customHeight="1">
      <c r="B28" s="8" t="inlineStr">
        <is>
          <t>5.</t>
        </is>
      </c>
      <c r="C28" s="9" t="inlineStr">
        <is>
          <t>[표5]에서 라인이 "A" 인 제품의 생산[C47:C52] 평균을 오른쪽 조건표(F열)를 이용하여 구하시오. (소수 이하는 버림) → [G47]  (DAVERAGE, ROUNDDOWN 함수 사용)</t>
        </is>
      </c>
    </row>
    <row r="29" ht="22" customHeight="1">
      <c r="A29" s="7" t="inlineStr">
        <is>
          <t xml:space="preserve">  분석작업-1  ·  10점</t>
        </is>
      </c>
    </row>
    <row r="30" ht="48" customHeight="1">
      <c r="B30" s="8" t="inlineStr"/>
      <c r="C30" s="9" t="inlineStr">
        <is>
          <t>[분석작업-1] 시트의 표를 이용하여 피벗 테이블을 만드시오.
· 행: 라인  · 열: 제품  · 값: 생산의 합계  · 위치: [H3]  · 보고서 레이아웃 '표 형식'</t>
        </is>
      </c>
    </row>
    <row r="31" ht="22" customHeight="1">
      <c r="A31" s="7" t="inlineStr">
        <is>
          <t xml:space="preserve">  분석작업-2  ·  10점</t>
        </is>
      </c>
    </row>
    <row r="32" ht="48" customHeight="1">
      <c r="B32" s="8" t="inlineStr"/>
      <c r="C32" s="9" t="inlineStr">
        <is>
          <t>[분석작업-2] 시트에서 [표1]~[표3] 세 분기의 제품별 생산량 '합계' 를 [G4:H8] 에 통합하시오.
· [데이터] → [통합]  · 사용할 레이블 '첫 행' 과 '왼쪽 열' (결과 표의 제품 이름은 이미 입력되어 있음)</t>
        </is>
      </c>
    </row>
    <row r="33" ht="22" customHeight="1">
      <c r="A33" s="7" t="inlineStr">
        <is>
          <t xml:space="preserve">  기타작업-1  ·  10점</t>
        </is>
      </c>
    </row>
    <row r="34" ht="18" customHeight="1">
      <c r="B34" s="8" t="inlineStr"/>
      <c r="C34" s="9" t="inlineStr">
        <is>
          <t>[기타작업-1] 시트에서 다음 두 매크로를 만들고 도형(빗면)에 연결하시오.  (저장은 .xlsm 형식)</t>
        </is>
      </c>
    </row>
    <row r="35" ht="18" customHeight="1">
      <c r="B35" s="8" t="inlineStr">
        <is>
          <t>1)</t>
        </is>
      </c>
      <c r="C35" s="9" t="inlineStr">
        <is>
          <t>[F4:F9] 에 달성률(생산÷계획)을 구하는 '달성률' 매크로 — [H3] 위치 '빗면' 도형(텍스트 '달성률')에 연결</t>
        </is>
      </c>
    </row>
    <row r="36" ht="18" customHeight="1">
      <c r="B36" s="8" t="inlineStr">
        <is>
          <t>2)</t>
        </is>
      </c>
      <c r="C36" s="9" t="inlineStr">
        <is>
          <t>[F4:F9] 에 백분율 스타일(%)을 적용하는 '백분율' 매크로 — [H6] 위치 '빗면' 도형(텍스트 '백분율')에 연결</t>
        </is>
      </c>
    </row>
    <row r="37" ht="22" customHeight="1">
      <c r="A37" s="7" t="inlineStr">
        <is>
          <t xml:space="preserve">  기타작업-2  ·  10점 (각 2점)</t>
        </is>
      </c>
    </row>
    <row r="38" ht="18" customHeight="1">
      <c r="B38" s="8" t="inlineStr"/>
      <c r="C38" s="9" t="inlineStr">
        <is>
          <t>[기타작업-2] 시트의 차트(묶은 세로 막대 · 계획·생산)를 다음과 같이 고치시오.</t>
        </is>
      </c>
    </row>
    <row r="39" ht="18" customHeight="1">
      <c r="B39" s="8" t="inlineStr">
        <is>
          <t>1)</t>
        </is>
      </c>
      <c r="C39" s="9" t="inlineStr">
        <is>
          <t>차트 종류를 '묶은 가로 막대형' 으로 바꾸시오</t>
        </is>
      </c>
    </row>
    <row r="40" ht="18" customHeight="1">
      <c r="B40" s="8" t="inlineStr">
        <is>
          <t>2)</t>
        </is>
      </c>
      <c r="C40" s="9" t="inlineStr">
        <is>
          <t>차트 제목을 셀 [A1] 과 연결하시오</t>
        </is>
      </c>
    </row>
    <row r="41" ht="18" customHeight="1">
      <c r="B41" s="8" t="inlineStr">
        <is>
          <t>3)</t>
        </is>
      </c>
      <c r="C41" s="9" t="inlineStr">
        <is>
          <t>가로(값) 축의 최소값 600, 주 단위 200 으로 지정하시오</t>
        </is>
      </c>
    </row>
    <row r="42" ht="18" customHeight="1">
      <c r="B42" s="8" t="inlineStr">
        <is>
          <t>4)</t>
        </is>
      </c>
      <c r="C42" s="9" t="inlineStr">
        <is>
          <t>생산 계열의 '간격 너비' 를 50% 로 지정하시오</t>
        </is>
      </c>
    </row>
    <row r="43" ht="18" customHeight="1">
      <c r="B43" s="8" t="inlineStr">
        <is>
          <t>5)</t>
        </is>
      </c>
      <c r="C43" s="9" t="inlineStr">
        <is>
          <t>차트 영역에 '둥근 모서리' 와 그림자(오프셋 오른쪽 아래)를 지정하시오</t>
        </is>
      </c>
    </row>
  </sheetData>
  <mergeCells count="11">
    <mergeCell ref="A13:C13"/>
    <mergeCell ref="A33:C33"/>
    <mergeCell ref="A1:C1"/>
    <mergeCell ref="A23:C23"/>
    <mergeCell ref="A37:C37"/>
    <mergeCell ref="A31:C31"/>
    <mergeCell ref="A21:C21"/>
    <mergeCell ref="A15:C15"/>
    <mergeCell ref="A4:C4"/>
    <mergeCell ref="A2:C2"/>
    <mergeCell ref="A29:C29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 ht="26" customHeight="1">
      <c r="A1" s="12" t="inlineStr">
        <is>
          <t>작업 지시서</t>
        </is>
      </c>
    </row>
    <row r="3">
      <c r="A3" s="13" t="inlineStr">
        <is>
          <t>지시번호</t>
        </is>
      </c>
      <c r="B3" s="13" t="inlineStr">
        <is>
          <t>제품명</t>
        </is>
      </c>
      <c r="C3" s="13" t="inlineStr">
        <is>
          <t>라인</t>
        </is>
      </c>
      <c r="D3" s="13" t="inlineStr">
        <is>
          <t>지시일</t>
        </is>
      </c>
      <c r="E3" s="13" t="inlineStr">
        <is>
          <t>수량</t>
        </is>
      </c>
      <c r="F3" s="13" t="inlineStr">
        <is>
          <t>납기</t>
        </is>
      </c>
    </row>
    <row r="4">
      <c r="A4" s="14" t="n"/>
      <c r="B4" s="14" t="n"/>
      <c r="C4" s="14" t="n"/>
      <c r="D4" s="14" t="n"/>
      <c r="E4" s="14" t="n"/>
      <c r="F4" s="14" t="n"/>
    </row>
    <row r="5">
      <c r="A5" s="14" t="n"/>
      <c r="B5" s="14" t="n"/>
      <c r="C5" s="14" t="n"/>
      <c r="D5" s="14" t="n"/>
      <c r="E5" s="14" t="n"/>
      <c r="F5" s="14" t="n"/>
    </row>
    <row r="6">
      <c r="A6" s="14" t="n"/>
      <c r="B6" s="14" t="n"/>
      <c r="C6" s="14" t="n"/>
      <c r="D6" s="14" t="n"/>
      <c r="E6" s="14" t="n"/>
      <c r="F6" s="14" t="n"/>
    </row>
    <row r="7">
      <c r="A7" s="14" t="n"/>
      <c r="B7" s="14" t="n"/>
      <c r="C7" s="14" t="n"/>
      <c r="D7" s="14" t="n"/>
      <c r="E7" s="14" t="n"/>
      <c r="F7" s="14" t="n"/>
    </row>
    <row r="8">
      <c r="A8" s="14" t="n"/>
      <c r="B8" s="14" t="n"/>
      <c r="C8" s="14" t="n"/>
      <c r="D8" s="14" t="n"/>
      <c r="E8" s="14" t="n"/>
      <c r="F8" s="14" t="n"/>
    </row>
    <row r="9">
      <c r="A9" s="14" t="n"/>
      <c r="B9" s="14" t="n"/>
      <c r="C9" s="14" t="n"/>
      <c r="D9" s="14" t="n"/>
      <c r="E9" s="14" t="n"/>
      <c r="F9" s="14" t="n"/>
    </row>
  </sheetData>
  <mergeCells count="1"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2" customWidth="1" min="4" max="4"/>
    <col width="10" customWidth="1" min="5" max="5"/>
    <col width="10" customWidth="1" min="6" max="6"/>
    <col width="13" customWidth="1" min="7" max="7"/>
  </cols>
  <sheetData>
    <row r="1">
      <c r="A1" t="inlineStr">
        <is>
          <t>라인별 생산 실적</t>
        </is>
      </c>
    </row>
    <row r="3">
      <c r="A3" s="15" t="inlineStr">
        <is>
          <t>일자</t>
        </is>
      </c>
      <c r="B3" s="15" t="inlineStr">
        <is>
          <t>라인</t>
        </is>
      </c>
      <c r="C3" s="15" t="inlineStr">
        <is>
          <t>제품</t>
        </is>
      </c>
      <c r="D3" s="15" t="inlineStr">
        <is>
          <t>계획</t>
        </is>
      </c>
      <c r="E3" s="15" t="inlineStr">
        <is>
          <t>생산</t>
        </is>
      </c>
      <c r="F3" s="15" t="inlineStr">
        <is>
          <t>불량</t>
        </is>
      </c>
      <c r="G3" s="15" t="inlineStr">
        <is>
          <t>불량률</t>
        </is>
      </c>
    </row>
    <row r="4">
      <c r="A4" s="16" t="n">
        <v>46266</v>
      </c>
      <c r="B4" t="inlineStr">
        <is>
          <t>A</t>
        </is>
      </c>
      <c r="C4" t="inlineStr">
        <is>
          <t>감속기어</t>
        </is>
      </c>
      <c r="D4" t="n">
        <v>300</v>
      </c>
      <c r="E4" t="n">
        <v>296</v>
      </c>
      <c r="F4" t="n">
        <v>6</v>
      </c>
      <c r="G4">
        <f>ROUND(F4/E4,3)</f>
        <v/>
      </c>
    </row>
    <row r="5">
      <c r="A5" s="16" t="n">
        <v>46266</v>
      </c>
      <c r="B5" t="inlineStr">
        <is>
          <t>B</t>
        </is>
      </c>
      <c r="C5" t="inlineStr">
        <is>
          <t>구동축</t>
        </is>
      </c>
      <c r="D5" t="n">
        <v>200</v>
      </c>
      <c r="E5" t="n">
        <v>212</v>
      </c>
      <c r="F5" t="n">
        <v>3</v>
      </c>
      <c r="G5">
        <f>ROUND(F5/E5,3)</f>
        <v/>
      </c>
    </row>
    <row r="6">
      <c r="A6" s="16" t="n">
        <v>46267</v>
      </c>
      <c r="B6" t="inlineStr">
        <is>
          <t>C</t>
        </is>
      </c>
      <c r="C6" t="inlineStr">
        <is>
          <t>밸브블록</t>
        </is>
      </c>
      <c r="D6" t="n">
        <v>400</v>
      </c>
      <c r="E6" t="n">
        <v>372</v>
      </c>
      <c r="F6" t="n">
        <v>15</v>
      </c>
      <c r="G6">
        <f>ROUND(F6/E6,3)</f>
        <v/>
      </c>
    </row>
    <row r="7">
      <c r="A7" s="16" t="n">
        <v>46267</v>
      </c>
      <c r="B7" t="inlineStr">
        <is>
          <t>A</t>
        </is>
      </c>
      <c r="C7" t="inlineStr">
        <is>
          <t>베어링유닛</t>
        </is>
      </c>
      <c r="D7" t="n">
        <v>500</v>
      </c>
      <c r="E7" t="n">
        <v>498</v>
      </c>
      <c r="F7" t="n">
        <v>9</v>
      </c>
      <c r="G7">
        <f>ROUND(F7/E7,3)</f>
        <v/>
      </c>
    </row>
    <row r="8">
      <c r="A8" s="16" t="n">
        <v>46268</v>
      </c>
      <c r="B8" t="inlineStr">
        <is>
          <t>B</t>
        </is>
      </c>
      <c r="C8" t="inlineStr">
        <is>
          <t>감속기어</t>
        </is>
      </c>
      <c r="D8" t="n">
        <v>300</v>
      </c>
      <c r="E8" t="n">
        <v>305</v>
      </c>
      <c r="F8" t="n">
        <v>4</v>
      </c>
      <c r="G8">
        <f>ROUND(F8/E8,3)</f>
        <v/>
      </c>
    </row>
    <row r="9">
      <c r="A9" s="16" t="n">
        <v>46268</v>
      </c>
      <c r="B9" t="inlineStr">
        <is>
          <t>C</t>
        </is>
      </c>
      <c r="C9" t="inlineStr">
        <is>
          <t>커플링</t>
        </is>
      </c>
      <c r="D9" t="n">
        <v>100</v>
      </c>
      <c r="E9" t="n">
        <v>96</v>
      </c>
      <c r="F9" t="n">
        <v>5</v>
      </c>
      <c r="G9">
        <f>ROUND(F9/E9,3)</f>
        <v/>
      </c>
    </row>
    <row r="10">
      <c r="A10" s="16" t="n">
        <v>46269</v>
      </c>
      <c r="B10" t="inlineStr">
        <is>
          <t>A</t>
        </is>
      </c>
      <c r="C10" t="inlineStr">
        <is>
          <t>구동축</t>
        </is>
      </c>
      <c r="D10" t="n">
        <v>200</v>
      </c>
      <c r="E10" t="n">
        <v>188</v>
      </c>
      <c r="F10" t="n">
        <v>10</v>
      </c>
      <c r="G10">
        <f>ROUND(F10/E10,3)</f>
        <v/>
      </c>
    </row>
    <row r="11">
      <c r="A11" s="16" t="n">
        <v>46269</v>
      </c>
      <c r="B11" t="inlineStr">
        <is>
          <t>B</t>
        </is>
      </c>
      <c r="C11" t="inlineStr">
        <is>
          <t>밸브블록</t>
        </is>
      </c>
      <c r="D11" t="n">
        <v>400</v>
      </c>
      <c r="E11" t="n">
        <v>415</v>
      </c>
      <c r="F11" t="n">
        <v>6</v>
      </c>
      <c r="G11">
        <f>ROUND(F11/E11,3)</f>
        <v/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4" customWidth="1" min="3" max="3"/>
    <col width="9" customWidth="1" min="4" max="4"/>
    <col width="9" customWidth="1" min="5" max="5"/>
    <col width="9" customWidth="1" min="6" max="6"/>
    <col width="10" customWidth="1" min="7" max="7"/>
  </cols>
  <sheetData>
    <row r="1" ht="26" customHeight="1">
      <c r="A1" s="12" t="inlineStr">
        <is>
          <t>조건부 서식</t>
        </is>
      </c>
    </row>
    <row r="3">
      <c r="A3" s="13" t="inlineStr">
        <is>
          <t>일자</t>
        </is>
      </c>
      <c r="B3" s="13" t="inlineStr">
        <is>
          <t>라인</t>
        </is>
      </c>
      <c r="C3" s="13" t="inlineStr">
        <is>
          <t>제품</t>
        </is>
      </c>
      <c r="D3" s="13" t="inlineStr">
        <is>
          <t>계획</t>
        </is>
      </c>
      <c r="E3" s="13" t="inlineStr">
        <is>
          <t>생산</t>
        </is>
      </c>
      <c r="F3" s="13" t="inlineStr">
        <is>
          <t>불량</t>
        </is>
      </c>
      <c r="G3" s="13" t="inlineStr">
        <is>
          <t>불량률</t>
        </is>
      </c>
    </row>
    <row r="4">
      <c r="A4" s="17" t="n">
        <v>46266</v>
      </c>
      <c r="B4" s="18" t="inlineStr">
        <is>
          <t>A</t>
        </is>
      </c>
      <c r="C4" s="18" t="inlineStr">
        <is>
          <t>감속기어</t>
        </is>
      </c>
      <c r="D4" s="18" t="n">
        <v>300</v>
      </c>
      <c r="E4" s="18" t="n">
        <v>296</v>
      </c>
      <c r="F4" s="18" t="n">
        <v>6</v>
      </c>
      <c r="G4" s="19" t="n">
        <v>0.02</v>
      </c>
    </row>
    <row r="5">
      <c r="A5" s="17" t="n">
        <v>46266</v>
      </c>
      <c r="B5" s="18" t="inlineStr">
        <is>
          <t>B</t>
        </is>
      </c>
      <c r="C5" s="18" t="inlineStr">
        <is>
          <t>구동축</t>
        </is>
      </c>
      <c r="D5" s="18" t="n">
        <v>200</v>
      </c>
      <c r="E5" s="18" t="n">
        <v>212</v>
      </c>
      <c r="F5" s="18" t="n">
        <v>3</v>
      </c>
      <c r="G5" s="19" t="n">
        <v>0.014</v>
      </c>
    </row>
    <row r="6">
      <c r="A6" s="17" t="n">
        <v>46267</v>
      </c>
      <c r="B6" s="18" t="inlineStr">
        <is>
          <t>C</t>
        </is>
      </c>
      <c r="C6" s="18" t="inlineStr">
        <is>
          <t>밸브블록</t>
        </is>
      </c>
      <c r="D6" s="18" t="n">
        <v>400</v>
      </c>
      <c r="E6" s="18" t="n">
        <v>372</v>
      </c>
      <c r="F6" s="18" t="n">
        <v>15</v>
      </c>
      <c r="G6" s="19" t="n">
        <v>0.04</v>
      </c>
    </row>
    <row r="7">
      <c r="A7" s="17" t="n">
        <v>46267</v>
      </c>
      <c r="B7" s="18" t="inlineStr">
        <is>
          <t>A</t>
        </is>
      </c>
      <c r="C7" s="18" t="inlineStr">
        <is>
          <t>베어링유닛</t>
        </is>
      </c>
      <c r="D7" s="18" t="n">
        <v>500</v>
      </c>
      <c r="E7" s="18" t="n">
        <v>498</v>
      </c>
      <c r="F7" s="18" t="n">
        <v>9</v>
      </c>
      <c r="G7" s="19" t="n">
        <v>0.018</v>
      </c>
    </row>
    <row r="8">
      <c r="A8" s="17" t="n">
        <v>46268</v>
      </c>
      <c r="B8" s="18" t="inlineStr">
        <is>
          <t>B</t>
        </is>
      </c>
      <c r="C8" s="18" t="inlineStr">
        <is>
          <t>감속기어</t>
        </is>
      </c>
      <c r="D8" s="18" t="n">
        <v>300</v>
      </c>
      <c r="E8" s="18" t="n">
        <v>305</v>
      </c>
      <c r="F8" s="18" t="n">
        <v>4</v>
      </c>
      <c r="G8" s="19" t="n">
        <v>0.013</v>
      </c>
    </row>
    <row r="9">
      <c r="A9" s="17" t="n">
        <v>46268</v>
      </c>
      <c r="B9" s="18" t="inlineStr">
        <is>
          <t>C</t>
        </is>
      </c>
      <c r="C9" s="18" t="inlineStr">
        <is>
          <t>커플링</t>
        </is>
      </c>
      <c r="D9" s="18" t="n">
        <v>100</v>
      </c>
      <c r="E9" s="18" t="n">
        <v>96</v>
      </c>
      <c r="F9" s="18" t="n">
        <v>5</v>
      </c>
      <c r="G9" s="19" t="n">
        <v>0.052</v>
      </c>
    </row>
    <row r="10">
      <c r="A10" s="17" t="n">
        <v>46269</v>
      </c>
      <c r="B10" s="18" t="inlineStr">
        <is>
          <t>A</t>
        </is>
      </c>
      <c r="C10" s="18" t="inlineStr">
        <is>
          <t>구동축</t>
        </is>
      </c>
      <c r="D10" s="18" t="n">
        <v>200</v>
      </c>
      <c r="E10" s="18" t="n">
        <v>188</v>
      </c>
      <c r="F10" s="18" t="n">
        <v>10</v>
      </c>
      <c r="G10" s="19" t="n">
        <v>0.053</v>
      </c>
    </row>
    <row r="11">
      <c r="A11" s="17" t="n">
        <v>46269</v>
      </c>
      <c r="B11" s="18" t="inlineStr">
        <is>
          <t>B</t>
        </is>
      </c>
      <c r="C11" s="18" t="inlineStr">
        <is>
          <t>밸브블록</t>
        </is>
      </c>
      <c r="D11" s="18" t="n">
        <v>400</v>
      </c>
      <c r="E11" s="18" t="n">
        <v>415</v>
      </c>
      <c r="F11" s="18" t="n">
        <v>6</v>
      </c>
      <c r="G11" s="19" t="n">
        <v>0.014</v>
      </c>
    </row>
  </sheetData>
  <mergeCells count="1">
    <mergeCell ref="A1:G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5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9" customWidth="1" min="8" max="8"/>
    <col width="9" customWidth="1" min="9" max="9"/>
    <col width="9" customWidth="1" min="10" max="10"/>
    <col width="9" customWidth="1" min="11" max="11"/>
    <col hidden="1" width="13" customWidth="1" min="27" max="27"/>
    <col hidden="1" width="13" customWidth="1" min="28" max="28"/>
  </cols>
  <sheetData>
    <row r="1">
      <c r="A1" s="20" t="inlineStr">
        <is>
          <t>[표1] 기능 평가</t>
        </is>
      </c>
    </row>
    <row r="2">
      <c r="A2" s="13" t="inlineStr">
        <is>
          <t>사원</t>
        </is>
      </c>
      <c r="B2" s="13" t="inlineStr">
        <is>
          <t>필기</t>
        </is>
      </c>
      <c r="C2" s="13" t="inlineStr">
        <is>
          <t>실기</t>
        </is>
      </c>
      <c r="D2" s="13" t="inlineStr">
        <is>
          <t>판정</t>
        </is>
      </c>
    </row>
    <row r="3">
      <c r="A3" s="18" t="inlineStr">
        <is>
          <t>김도윤</t>
        </is>
      </c>
      <c r="B3" s="18" t="n">
        <v>80</v>
      </c>
      <c r="C3" s="18" t="n">
        <v>70</v>
      </c>
      <c r="D3" s="21" t="n">
        <v>0</v>
      </c>
      <c r="AA3">
        <f>IF(AND(B3&gt;=60,C3&gt;=60,AVERAGE(B3:C3)&gt;=70),"합격","불합격")</f>
        <v/>
      </c>
      <c r="AB3">
        <f>AND(_xlfn.ISFORMULA(D3),IFERROR(ROUND(D3,4)=ROUND(AA3,4),EXACT(D3,AA3)))</f>
        <v/>
      </c>
    </row>
    <row r="4">
      <c r="A4" s="18" t="inlineStr">
        <is>
          <t>이서연</t>
        </is>
      </c>
      <c r="B4" s="18" t="n">
        <v>60</v>
      </c>
      <c r="C4" s="18" t="n">
        <v>80</v>
      </c>
      <c r="D4" s="21" t="n">
        <v>0</v>
      </c>
      <c r="AA4">
        <f>IF(AND(B4&gt;=60,C4&gt;=60,AVERAGE(B4:C4)&gt;=70),"합격","불합격")</f>
        <v/>
      </c>
      <c r="AB4">
        <f>AND(_xlfn.ISFORMULA(D4),IFERROR(ROUND(D4,4)=ROUND(AA4,4),EXACT(D4,AA4)))</f>
        <v/>
      </c>
    </row>
    <row r="5">
      <c r="A5" s="18" t="inlineStr">
        <is>
          <t>박지훈</t>
        </is>
      </c>
      <c r="B5" s="18" t="n">
        <v>59</v>
      </c>
      <c r="C5" s="18" t="n">
        <v>95</v>
      </c>
      <c r="D5" s="21" t="n">
        <v>0</v>
      </c>
      <c r="AA5">
        <f>IF(AND(B5&gt;=60,C5&gt;=60,AVERAGE(B5:C5)&gt;=70),"합격","불합격")</f>
        <v/>
      </c>
      <c r="AB5">
        <f>AND(_xlfn.ISFORMULA(D5),IFERROR(ROUND(D5,4)=ROUND(AA5,4),EXACT(D5,AA5)))</f>
        <v/>
      </c>
    </row>
    <row r="6">
      <c r="A6" s="18" t="inlineStr">
        <is>
          <t>최하은</t>
        </is>
      </c>
      <c r="B6" s="18" t="n">
        <v>72</v>
      </c>
      <c r="C6" s="18" t="n">
        <v>68</v>
      </c>
      <c r="D6" s="21" t="n">
        <v>0</v>
      </c>
      <c r="AA6">
        <f>IF(AND(B6&gt;=60,C6&gt;=60,AVERAGE(B6:C6)&gt;=70),"합격","불합격")</f>
        <v/>
      </c>
      <c r="AB6">
        <f>AND(_xlfn.ISFORMULA(D6),IFERROR(ROUND(D6,4)=ROUND(AA6,4),EXACT(D6,AA6)))</f>
        <v/>
      </c>
    </row>
    <row r="7">
      <c r="A7" s="18" t="inlineStr">
        <is>
          <t>정민재</t>
        </is>
      </c>
      <c r="B7" s="18" t="n">
        <v>90</v>
      </c>
      <c r="C7" s="18" t="n">
        <v>55</v>
      </c>
      <c r="D7" s="21" t="n">
        <v>0</v>
      </c>
      <c r="AA7">
        <f>IF(AND(B7&gt;=60,C7&gt;=60,AVERAGE(B7:C7)&gt;=70),"합격","불합격")</f>
        <v/>
      </c>
      <c r="AB7">
        <f>AND(_xlfn.ISFORMULA(D7),IFERROR(ROUND(D7,4)=ROUND(AA7,4),EXACT(D7,AA7)))</f>
        <v/>
      </c>
    </row>
    <row r="8">
      <c r="A8" s="18" t="inlineStr">
        <is>
          <t>한수아</t>
        </is>
      </c>
      <c r="B8" s="18" t="n">
        <v>66</v>
      </c>
      <c r="C8" s="18" t="n">
        <v>74</v>
      </c>
      <c r="D8" s="21" t="n">
        <v>0</v>
      </c>
      <c r="AA8">
        <f>IF(AND(B8&gt;=60,C8&gt;=60,AVERAGE(B8:C8)&gt;=70),"합격","불합격")</f>
        <v/>
      </c>
      <c r="AB8">
        <f>AND(_xlfn.ISFORMULA(D8),IFERROR(ROUND(D8,4)=ROUND(AA8,4),EXACT(D8,AA8)))</f>
        <v/>
      </c>
    </row>
    <row r="9">
      <c r="A9" s="18" t="inlineStr">
        <is>
          <t>오지성</t>
        </is>
      </c>
      <c r="B9" s="18" t="n">
        <v>100</v>
      </c>
      <c r="C9" s="18" t="n">
        <v>60</v>
      </c>
      <c r="D9" s="21" t="n">
        <v>0</v>
      </c>
      <c r="AA9">
        <f>IF(AND(B9&gt;=60,C9&gt;=60,AVERAGE(B9:C9)&gt;=70),"합격","불합격")</f>
        <v/>
      </c>
      <c r="AB9">
        <f>AND(_xlfn.ISFORMULA(D9),IFERROR(ROUND(D9,4)=ROUND(AA9,4),EXACT(D9,AA9)))</f>
        <v/>
      </c>
    </row>
    <row r="10">
      <c r="A10" s="18" t="inlineStr">
        <is>
          <t>윤채원</t>
        </is>
      </c>
      <c r="B10" s="18" t="n">
        <v>70</v>
      </c>
      <c r="C10" s="18" t="n">
        <v>69</v>
      </c>
      <c r="D10" s="21" t="n">
        <v>0</v>
      </c>
      <c r="AA10">
        <f>IF(AND(B10&gt;=60,C10&gt;=60,AVERAGE(B10:C10)&gt;=70),"합격","불합격")</f>
        <v/>
      </c>
      <c r="AB10">
        <f>AND(_xlfn.ISFORMULA(D10),IFERROR(ROUND(D10,4)=ROUND(AA10,4),EXACT(D10,AA10)))</f>
        <v/>
      </c>
    </row>
    <row r="13">
      <c r="A13" s="20" t="inlineStr">
        <is>
          <t>[표2] 로트 관리</t>
        </is>
      </c>
    </row>
    <row r="14">
      <c r="A14" s="13" t="inlineStr">
        <is>
          <t>로트번호</t>
        </is>
      </c>
      <c r="B14" s="13" t="inlineStr">
        <is>
          <t>제품</t>
        </is>
      </c>
      <c r="C14" s="13" t="inlineStr">
        <is>
          <t>생산월</t>
        </is>
      </c>
    </row>
    <row r="15">
      <c r="A15" s="18" t="inlineStr">
        <is>
          <t>L2603-A-017</t>
        </is>
      </c>
      <c r="B15" s="18" t="inlineStr">
        <is>
          <t>감속기어</t>
        </is>
      </c>
      <c r="C15" s="21" t="n">
        <v>0</v>
      </c>
      <c r="AA15">
        <f>MID(A15,4,2)&amp;"월"</f>
        <v/>
      </c>
      <c r="AB15">
        <f>AND(_xlfn.ISFORMULA(C15),IFERROR(ROUND(C15,4)=ROUND(AA15,4),EXACT(C15,AA15)))</f>
        <v/>
      </c>
    </row>
    <row r="16">
      <c r="A16" s="18" t="inlineStr">
        <is>
          <t>L2611-B-102</t>
        </is>
      </c>
      <c r="B16" s="18" t="inlineStr">
        <is>
          <t>구동축</t>
        </is>
      </c>
      <c r="C16" s="21" t="n">
        <v>0</v>
      </c>
      <c r="AA16">
        <f>MID(A16,4,2)&amp;"월"</f>
        <v/>
      </c>
      <c r="AB16">
        <f>AND(_xlfn.ISFORMULA(C16),IFERROR(ROUND(C16,4)=ROUND(AA16,4),EXACT(C16,AA16)))</f>
        <v/>
      </c>
    </row>
    <row r="17">
      <c r="A17" s="18" t="inlineStr">
        <is>
          <t>L2607-C-045</t>
        </is>
      </c>
      <c r="B17" s="18" t="inlineStr">
        <is>
          <t>밸브</t>
        </is>
      </c>
      <c r="C17" s="21" t="n">
        <v>0</v>
      </c>
      <c r="AA17">
        <f>MID(A17,4,2)&amp;"월"</f>
        <v/>
      </c>
      <c r="AB17">
        <f>AND(_xlfn.ISFORMULA(C17),IFERROR(ROUND(C17,4)=ROUND(AA17,4),EXACT(C17,AA17)))</f>
        <v/>
      </c>
    </row>
    <row r="18">
      <c r="A18" s="18" t="inlineStr">
        <is>
          <t>L2612-A-003</t>
        </is>
      </c>
      <c r="B18" s="18" t="inlineStr">
        <is>
          <t>커플링</t>
        </is>
      </c>
      <c r="C18" s="21" t="n">
        <v>0</v>
      </c>
      <c r="AA18">
        <f>MID(A18,4,2)&amp;"월"</f>
        <v/>
      </c>
      <c r="AB18">
        <f>AND(_xlfn.ISFORMULA(C18),IFERROR(ROUND(C18,4)=ROUND(AA18,4),EXACT(C18,AA18)))</f>
        <v/>
      </c>
    </row>
    <row r="19">
      <c r="A19" s="18" t="inlineStr">
        <is>
          <t>L2601-B-220</t>
        </is>
      </c>
      <c r="B19" s="18" t="inlineStr">
        <is>
          <t>베어링</t>
        </is>
      </c>
      <c r="C19" s="21" t="n">
        <v>0</v>
      </c>
      <c r="AA19">
        <f>MID(A19,4,2)&amp;"월"</f>
        <v/>
      </c>
      <c r="AB19">
        <f>AND(_xlfn.ISFORMULA(C19),IFERROR(ROUND(C19,4)=ROUND(AA19,4),EXACT(C19,AA19)))</f>
        <v/>
      </c>
    </row>
    <row r="20">
      <c r="A20" s="18" t="inlineStr">
        <is>
          <t>L2609-C-011</t>
        </is>
      </c>
      <c r="B20" s="18" t="inlineStr">
        <is>
          <t>기어</t>
        </is>
      </c>
      <c r="C20" s="21" t="n">
        <v>0</v>
      </c>
      <c r="AA20">
        <f>MID(A20,4,2)&amp;"월"</f>
        <v/>
      </c>
      <c r="AB20">
        <f>AND(_xlfn.ISFORMULA(C20),IFERROR(ROUND(C20,4)=ROUND(AA20,4),EXACT(C20,AA20)))</f>
        <v/>
      </c>
    </row>
    <row r="23">
      <c r="A23" s="20" t="inlineStr">
        <is>
          <t>[표3] 라인별 작업시간</t>
        </is>
      </c>
    </row>
    <row r="24">
      <c r="A24" s="13" t="inlineStr">
        <is>
          <t>라인</t>
        </is>
      </c>
      <c r="B24" s="13" t="inlineStr">
        <is>
          <t>작업</t>
        </is>
      </c>
      <c r="C24" s="13" t="inlineStr">
        <is>
          <t>시간</t>
        </is>
      </c>
      <c r="D24" s="13" t="inlineStr"/>
      <c r="E24" s="13" t="inlineStr">
        <is>
          <t>라인</t>
        </is>
      </c>
      <c r="F24" s="13" t="inlineStr">
        <is>
          <t>평균 시간</t>
        </is>
      </c>
    </row>
    <row r="25">
      <c r="A25" s="18" t="inlineStr">
        <is>
          <t>B</t>
        </is>
      </c>
      <c r="B25" s="18" t="inlineStr">
        <is>
          <t>조립</t>
        </is>
      </c>
      <c r="C25" s="18" t="n">
        <v>3.2</v>
      </c>
      <c r="D25" s="22" t="n"/>
      <c r="E25" s="18" t="inlineStr">
        <is>
          <t>A</t>
        </is>
      </c>
      <c r="F25" s="21" t="n">
        <v>0</v>
      </c>
      <c r="AA25">
        <f>ROUNDUP(AVERAGEIF($A$25:$A$32,E25,$C$25:$C$32),1)</f>
        <v/>
      </c>
      <c r="AB25">
        <f>AND(_xlfn.ISFORMULA(F25),IFERROR(ROUND(F25,4)=ROUND(AA25,4),EXACT(F25,AA25)))</f>
        <v/>
      </c>
    </row>
    <row r="26">
      <c r="A26" s="18" t="inlineStr">
        <is>
          <t>A</t>
        </is>
      </c>
      <c r="B26" s="18" t="inlineStr">
        <is>
          <t>용접</t>
        </is>
      </c>
      <c r="C26" s="18" t="n">
        <v>2.45</v>
      </c>
      <c r="D26" s="22" t="n"/>
      <c r="E26" s="18" t="inlineStr">
        <is>
          <t>B</t>
        </is>
      </c>
      <c r="F26" s="21" t="n">
        <v>0</v>
      </c>
      <c r="AA26">
        <f>ROUNDUP(AVERAGEIF($A$25:$A$32,E26,$C$25:$C$32),1)</f>
        <v/>
      </c>
      <c r="AB26">
        <f>AND(_xlfn.ISFORMULA(F26),IFERROR(ROUND(F26,4)=ROUND(AA26,4),EXACT(F26,AA26)))</f>
        <v/>
      </c>
    </row>
    <row r="27">
      <c r="A27" s="18" t="inlineStr">
        <is>
          <t>C</t>
        </is>
      </c>
      <c r="B27" s="18" t="inlineStr">
        <is>
          <t>가공</t>
        </is>
      </c>
      <c r="C27" s="18" t="n">
        <v>4.1</v>
      </c>
      <c r="D27" s="22" t="n"/>
      <c r="E27" s="18" t="inlineStr">
        <is>
          <t>C</t>
        </is>
      </c>
      <c r="F27" s="21" t="n">
        <v>0</v>
      </c>
      <c r="AA27">
        <f>ROUNDUP(AVERAGEIF($A$25:$A$32,E27,$C$25:$C$32),1)</f>
        <v/>
      </c>
      <c r="AB27">
        <f>AND(_xlfn.ISFORMULA(F27),IFERROR(ROUND(F27,4)=ROUND(AA27,4),EXACT(F27,AA27)))</f>
        <v/>
      </c>
    </row>
    <row r="28">
      <c r="A28" s="18" t="inlineStr">
        <is>
          <t>A</t>
        </is>
      </c>
      <c r="B28" s="18" t="inlineStr">
        <is>
          <t>조립</t>
        </is>
      </c>
      <c r="C28" s="18" t="n">
        <v>3.3</v>
      </c>
      <c r="D28" s="22" t="n"/>
      <c r="E28" s="22" t="n"/>
      <c r="F28" s="22" t="n"/>
    </row>
    <row r="29">
      <c r="A29" s="18" t="inlineStr">
        <is>
          <t>B</t>
        </is>
      </c>
      <c r="B29" s="18" t="inlineStr">
        <is>
          <t>도장</t>
        </is>
      </c>
      <c r="C29" s="18" t="n">
        <v>1.85</v>
      </c>
      <c r="D29" s="22" t="n"/>
      <c r="E29" s="22" t="n"/>
      <c r="F29" s="22" t="n"/>
    </row>
    <row r="30">
      <c r="A30" s="18" t="inlineStr">
        <is>
          <t>C</t>
        </is>
      </c>
      <c r="B30" s="18" t="inlineStr">
        <is>
          <t>검사</t>
        </is>
      </c>
      <c r="C30" s="18" t="n">
        <v>0.9</v>
      </c>
      <c r="D30" s="22" t="n"/>
      <c r="E30" s="22" t="n"/>
      <c r="F30" s="22" t="n"/>
    </row>
    <row r="31">
      <c r="A31" s="18" t="inlineStr">
        <is>
          <t>A</t>
        </is>
      </c>
      <c r="B31" s="18" t="inlineStr">
        <is>
          <t>검사</t>
        </is>
      </c>
      <c r="C31" s="18" t="n">
        <v>1.1</v>
      </c>
      <c r="D31" s="22" t="n"/>
      <c r="E31" s="22" t="n"/>
      <c r="F31" s="22" t="n"/>
    </row>
    <row r="32">
      <c r="A32" s="18" t="inlineStr">
        <is>
          <t>B</t>
        </is>
      </c>
      <c r="B32" s="18" t="inlineStr">
        <is>
          <t>포장</t>
        </is>
      </c>
      <c r="C32" s="18" t="n">
        <v>2</v>
      </c>
      <c r="D32" s="22" t="n"/>
      <c r="E32" s="22" t="n"/>
      <c r="F32" s="22" t="n"/>
    </row>
    <row r="35">
      <c r="A35" s="20" t="inlineStr">
        <is>
          <t>[표4] 품질 점수 등급</t>
        </is>
      </c>
    </row>
    <row r="36">
      <c r="A36" s="13" t="inlineStr">
        <is>
          <t>제품</t>
        </is>
      </c>
      <c r="B36" s="13" t="inlineStr">
        <is>
          <t>라인</t>
        </is>
      </c>
      <c r="C36" s="13" t="inlineStr">
        <is>
          <t>점수</t>
        </is>
      </c>
      <c r="D36" s="13" t="inlineStr">
        <is>
          <t>등급</t>
        </is>
      </c>
      <c r="G36" s="13" t="inlineStr">
        <is>
          <t>점수</t>
        </is>
      </c>
      <c r="H36" s="13" t="n">
        <v>0</v>
      </c>
      <c r="I36" s="13" t="n">
        <v>60</v>
      </c>
      <c r="J36" s="13" t="n">
        <v>70</v>
      </c>
      <c r="K36" s="13" t="n">
        <v>80</v>
      </c>
      <c r="L36" s="13" t="n">
        <v>90</v>
      </c>
    </row>
    <row r="37">
      <c r="A37" s="18" t="inlineStr">
        <is>
          <t>감속기어</t>
        </is>
      </c>
      <c r="B37" s="18" t="inlineStr">
        <is>
          <t>A</t>
        </is>
      </c>
      <c r="C37" s="18" t="n">
        <v>92</v>
      </c>
      <c r="D37" s="21" t="n">
        <v>0</v>
      </c>
      <c r="G37" s="18" t="inlineStr">
        <is>
          <t>등급</t>
        </is>
      </c>
      <c r="H37" s="18" t="inlineStr">
        <is>
          <t>F</t>
        </is>
      </c>
      <c r="I37" s="18" t="inlineStr">
        <is>
          <t>D</t>
        </is>
      </c>
      <c r="J37" s="18" t="inlineStr">
        <is>
          <t>C</t>
        </is>
      </c>
      <c r="K37" s="18" t="inlineStr">
        <is>
          <t>B</t>
        </is>
      </c>
      <c r="L37" s="18" t="inlineStr">
        <is>
          <t>A</t>
        </is>
      </c>
      <c r="AA37">
        <f>HLOOKUP(C37,$H$36:$L$37,2,TRUE)</f>
        <v/>
      </c>
      <c r="AB37">
        <f>AND(_xlfn.ISFORMULA(D37),IFERROR(ROUND(D37,4)=ROUND(AA37,4),EXACT(D37,AA37)))</f>
        <v/>
      </c>
    </row>
    <row r="38">
      <c r="A38" s="18" t="inlineStr">
        <is>
          <t>구동축</t>
        </is>
      </c>
      <c r="B38" s="18" t="inlineStr">
        <is>
          <t>B</t>
        </is>
      </c>
      <c r="C38" s="18" t="n">
        <v>68</v>
      </c>
      <c r="D38" s="21" t="n">
        <v>0</v>
      </c>
      <c r="AA38">
        <f>HLOOKUP(C38,$H$36:$L$37,2,TRUE)</f>
        <v/>
      </c>
      <c r="AB38">
        <f>AND(_xlfn.ISFORMULA(D38),IFERROR(ROUND(D38,4)=ROUND(AA38,4),EXACT(D38,AA38)))</f>
        <v/>
      </c>
    </row>
    <row r="39">
      <c r="A39" s="18" t="inlineStr">
        <is>
          <t>밸브블록</t>
        </is>
      </c>
      <c r="B39" s="18" t="inlineStr">
        <is>
          <t>C</t>
        </is>
      </c>
      <c r="C39" s="18" t="n">
        <v>80</v>
      </c>
      <c r="D39" s="21" t="n">
        <v>0</v>
      </c>
      <c r="AA39">
        <f>HLOOKUP(C39,$H$36:$L$37,2,TRUE)</f>
        <v/>
      </c>
      <c r="AB39">
        <f>AND(_xlfn.ISFORMULA(D39),IFERROR(ROUND(D39,4)=ROUND(AA39,4),EXACT(D39,AA39)))</f>
        <v/>
      </c>
    </row>
    <row r="40">
      <c r="A40" s="18" t="inlineStr">
        <is>
          <t>베어링</t>
        </is>
      </c>
      <c r="B40" s="18" t="inlineStr">
        <is>
          <t>A</t>
        </is>
      </c>
      <c r="C40" s="18" t="n">
        <v>59</v>
      </c>
      <c r="D40" s="21" t="n">
        <v>0</v>
      </c>
      <c r="AA40">
        <f>HLOOKUP(C40,$H$36:$L$37,2,TRUE)</f>
        <v/>
      </c>
      <c r="AB40">
        <f>AND(_xlfn.ISFORMULA(D40),IFERROR(ROUND(D40,4)=ROUND(AA40,4),EXACT(D40,AA40)))</f>
        <v/>
      </c>
    </row>
    <row r="41">
      <c r="A41" s="18" t="inlineStr">
        <is>
          <t>커플링</t>
        </is>
      </c>
      <c r="B41" s="18" t="inlineStr">
        <is>
          <t>B</t>
        </is>
      </c>
      <c r="C41" s="18" t="n">
        <v>75</v>
      </c>
      <c r="D41" s="21" t="n">
        <v>0</v>
      </c>
      <c r="AA41">
        <f>HLOOKUP(C41,$H$36:$L$37,2,TRUE)</f>
        <v/>
      </c>
      <c r="AB41">
        <f>AND(_xlfn.ISFORMULA(D41),IFERROR(ROUND(D41,4)=ROUND(AA41,4),EXACT(D41,AA41)))</f>
        <v/>
      </c>
    </row>
    <row r="42">
      <c r="A42" s="18" t="inlineStr">
        <is>
          <t>기어</t>
        </is>
      </c>
      <c r="B42" s="18" t="inlineStr">
        <is>
          <t>C</t>
        </is>
      </c>
      <c r="C42" s="18" t="n">
        <v>100</v>
      </c>
      <c r="D42" s="21" t="n">
        <v>0</v>
      </c>
      <c r="AA42">
        <f>HLOOKUP(C42,$H$36:$L$37,2,TRUE)</f>
        <v/>
      </c>
      <c r="AB42">
        <f>AND(_xlfn.ISFORMULA(D42),IFERROR(ROUND(D42,4)=ROUND(AA42,4),EXACT(D42,AA42)))</f>
        <v/>
      </c>
    </row>
    <row r="45">
      <c r="A45" s="20" t="inlineStr">
        <is>
          <t>[표5] 라인 A 생산 평균</t>
        </is>
      </c>
    </row>
    <row r="46">
      <c r="A46" s="13" t="inlineStr">
        <is>
          <t>라인</t>
        </is>
      </c>
      <c r="B46" s="13" t="inlineStr">
        <is>
          <t>제품</t>
        </is>
      </c>
      <c r="C46" s="13" t="inlineStr">
        <is>
          <t>생산</t>
        </is>
      </c>
      <c r="D46" s="13" t="inlineStr">
        <is>
          <t>불량</t>
        </is>
      </c>
      <c r="E46" s="13" t="inlineStr"/>
      <c r="F46" s="13" t="inlineStr">
        <is>
          <t>라인</t>
        </is>
      </c>
      <c r="G46" s="13" t="inlineStr">
        <is>
          <t>생산 평균</t>
        </is>
      </c>
    </row>
    <row r="47">
      <c r="A47" s="18" t="inlineStr">
        <is>
          <t>A</t>
        </is>
      </c>
      <c r="B47" s="18" t="inlineStr">
        <is>
          <t>감속기어</t>
        </is>
      </c>
      <c r="C47" s="18" t="n">
        <v>296</v>
      </c>
      <c r="D47" s="18" t="n">
        <v>6</v>
      </c>
      <c r="E47" s="22" t="n"/>
      <c r="F47" s="18" t="inlineStr">
        <is>
          <t>A</t>
        </is>
      </c>
      <c r="G47" s="21" t="n">
        <v>0</v>
      </c>
      <c r="AA47">
        <f>ROUNDDOWN(DAVERAGE(A46:D52,3,F46:F47),0)</f>
        <v/>
      </c>
      <c r="AB47">
        <f>AND(_xlfn.ISFORMULA(G47),IFERROR(ROUND(G47,4)=ROUND(AA47,4),EXACT(G47,AA47)))</f>
        <v/>
      </c>
    </row>
    <row r="48">
      <c r="A48" s="18" t="inlineStr">
        <is>
          <t>B</t>
        </is>
      </c>
      <c r="B48" s="18" t="inlineStr">
        <is>
          <t>구동축</t>
        </is>
      </c>
      <c r="C48" s="18" t="n">
        <v>212</v>
      </c>
      <c r="D48" s="18" t="n">
        <v>3</v>
      </c>
      <c r="E48" s="22" t="n"/>
      <c r="F48" s="22" t="n"/>
      <c r="G48" s="22" t="n"/>
    </row>
    <row r="49">
      <c r="A49" s="18" t="inlineStr">
        <is>
          <t>A</t>
        </is>
      </c>
      <c r="B49" s="18" t="inlineStr">
        <is>
          <t>베어링</t>
        </is>
      </c>
      <c r="C49" s="18" t="n">
        <v>498</v>
      </c>
      <c r="D49" s="18" t="n">
        <v>9</v>
      </c>
      <c r="E49" s="22" t="n"/>
      <c r="F49" s="22" t="n"/>
      <c r="G49" s="22" t="n"/>
    </row>
    <row r="50">
      <c r="A50" s="18" t="inlineStr">
        <is>
          <t>C</t>
        </is>
      </c>
      <c r="B50" s="18" t="inlineStr">
        <is>
          <t>밸브</t>
        </is>
      </c>
      <c r="C50" s="18" t="n">
        <v>372</v>
      </c>
      <c r="D50" s="18" t="n">
        <v>15</v>
      </c>
      <c r="E50" s="22" t="n"/>
      <c r="F50" s="22" t="n"/>
      <c r="G50" s="22" t="n"/>
    </row>
    <row r="51">
      <c r="A51" s="18" t="inlineStr">
        <is>
          <t>A</t>
        </is>
      </c>
      <c r="B51" s="18" t="inlineStr">
        <is>
          <t>구동축</t>
        </is>
      </c>
      <c r="C51" s="18" t="n">
        <v>188</v>
      </c>
      <c r="D51" s="18" t="n">
        <v>10</v>
      </c>
      <c r="E51" s="22" t="n"/>
      <c r="F51" s="22" t="n"/>
      <c r="G51" s="22" t="n"/>
    </row>
    <row r="52">
      <c r="A52" s="18" t="inlineStr">
        <is>
          <t>B</t>
        </is>
      </c>
      <c r="B52" s="18" t="inlineStr">
        <is>
          <t>기어</t>
        </is>
      </c>
      <c r="C52" s="18" t="n">
        <v>305</v>
      </c>
      <c r="D52" s="18" t="n">
        <v>4</v>
      </c>
      <c r="E52" s="22" t="n"/>
      <c r="F52" s="22" t="n"/>
      <c r="G52" s="22" t="n"/>
    </row>
  </sheetData>
  <mergeCells count="5">
    <mergeCell ref="A1:D1"/>
    <mergeCell ref="A13:C13"/>
    <mergeCell ref="A35:D35"/>
    <mergeCell ref="A23:F23"/>
    <mergeCell ref="A45:G45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0" customWidth="1" min="4" max="4"/>
    <col width="10" customWidth="1" min="5" max="5"/>
    <col width="12" customWidth="1" min="6" max="6"/>
  </cols>
  <sheetData>
    <row r="1" ht="26" customHeight="1">
      <c r="A1" s="12" t="inlineStr">
        <is>
          <t>분석작업-1</t>
        </is>
      </c>
    </row>
    <row r="3">
      <c r="A3" s="13" t="inlineStr">
        <is>
          <t>일자</t>
        </is>
      </c>
      <c r="B3" s="13" t="inlineStr">
        <is>
          <t>라인</t>
        </is>
      </c>
      <c r="C3" s="13" t="inlineStr">
        <is>
          <t>제품</t>
        </is>
      </c>
      <c r="D3" s="13" t="inlineStr">
        <is>
          <t>생산</t>
        </is>
      </c>
      <c r="E3" s="13" t="inlineStr">
        <is>
          <t>불량</t>
        </is>
      </c>
    </row>
    <row r="4">
      <c r="A4" s="17" t="n">
        <v>46266</v>
      </c>
      <c r="B4" s="18" t="inlineStr">
        <is>
          <t>A</t>
        </is>
      </c>
      <c r="C4" s="18" t="inlineStr">
        <is>
          <t>감속기어</t>
        </is>
      </c>
      <c r="D4" s="18" t="n">
        <v>296</v>
      </c>
      <c r="E4" s="18" t="n">
        <v>6</v>
      </c>
    </row>
    <row r="5">
      <c r="A5" s="17" t="n">
        <v>46266</v>
      </c>
      <c r="B5" s="18" t="inlineStr">
        <is>
          <t>B</t>
        </is>
      </c>
      <c r="C5" s="18" t="inlineStr">
        <is>
          <t>구동축</t>
        </is>
      </c>
      <c r="D5" s="18" t="n">
        <v>212</v>
      </c>
      <c r="E5" s="18" t="n">
        <v>3</v>
      </c>
    </row>
    <row r="6">
      <c r="A6" s="17" t="n">
        <v>46267</v>
      </c>
      <c r="B6" s="18" t="inlineStr">
        <is>
          <t>C</t>
        </is>
      </c>
      <c r="C6" s="18" t="inlineStr">
        <is>
          <t>밸브블록</t>
        </is>
      </c>
      <c r="D6" s="18" t="n">
        <v>372</v>
      </c>
      <c r="E6" s="18" t="n">
        <v>15</v>
      </c>
    </row>
    <row r="7">
      <c r="A7" s="17" t="n">
        <v>46267</v>
      </c>
      <c r="B7" s="18" t="inlineStr">
        <is>
          <t>A</t>
        </is>
      </c>
      <c r="C7" s="18" t="inlineStr">
        <is>
          <t>베어링유닛</t>
        </is>
      </c>
      <c r="D7" s="18" t="n">
        <v>498</v>
      </c>
      <c r="E7" s="18" t="n">
        <v>9</v>
      </c>
    </row>
    <row r="8">
      <c r="A8" s="17" t="n">
        <v>46268</v>
      </c>
      <c r="B8" s="18" t="inlineStr">
        <is>
          <t>B</t>
        </is>
      </c>
      <c r="C8" s="18" t="inlineStr">
        <is>
          <t>감속기어</t>
        </is>
      </c>
      <c r="D8" s="18" t="n">
        <v>305</v>
      </c>
      <c r="E8" s="18" t="n">
        <v>4</v>
      </c>
    </row>
    <row r="9">
      <c r="A9" s="17" t="n">
        <v>46268</v>
      </c>
      <c r="B9" s="18" t="inlineStr">
        <is>
          <t>C</t>
        </is>
      </c>
      <c r="C9" s="18" t="inlineStr">
        <is>
          <t>구동축</t>
        </is>
      </c>
      <c r="D9" s="18" t="n">
        <v>96</v>
      </c>
      <c r="E9" s="18" t="n">
        <v>5</v>
      </c>
    </row>
    <row r="10">
      <c r="A10" s="17" t="n">
        <v>46269</v>
      </c>
      <c r="B10" s="18" t="inlineStr">
        <is>
          <t>A</t>
        </is>
      </c>
      <c r="C10" s="18" t="inlineStr">
        <is>
          <t>구동축</t>
        </is>
      </c>
      <c r="D10" s="18" t="n">
        <v>188</v>
      </c>
      <c r="E10" s="18" t="n">
        <v>10</v>
      </c>
    </row>
    <row r="11">
      <c r="A11" s="17" t="n">
        <v>46269</v>
      </c>
      <c r="B11" s="18" t="inlineStr">
        <is>
          <t>B</t>
        </is>
      </c>
      <c r="C11" s="18" t="inlineStr">
        <is>
          <t>밸브블록</t>
        </is>
      </c>
      <c r="D11" s="18" t="n">
        <v>415</v>
      </c>
      <c r="E11" s="18" t="n">
        <v>6</v>
      </c>
    </row>
    <row r="12">
      <c r="A12" s="17" t="n">
        <v>46270</v>
      </c>
      <c r="B12" s="18" t="inlineStr">
        <is>
          <t>C</t>
        </is>
      </c>
      <c r="C12" s="18" t="inlineStr">
        <is>
          <t>감속기어</t>
        </is>
      </c>
      <c r="D12" s="18" t="n">
        <v>280</v>
      </c>
      <c r="E12" s="18" t="n">
        <v>2</v>
      </c>
    </row>
    <row r="13">
      <c r="A13" s="17" t="n">
        <v>46270</v>
      </c>
      <c r="B13" s="18" t="inlineStr">
        <is>
          <t>A</t>
        </is>
      </c>
      <c r="C13" s="18" t="inlineStr">
        <is>
          <t>밸브블록</t>
        </is>
      </c>
      <c r="D13" s="18" t="n">
        <v>390</v>
      </c>
      <c r="E13" s="18" t="n">
        <v>8</v>
      </c>
    </row>
  </sheetData>
  <mergeCells count="1"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" customWidth="1" min="3" max="3"/>
    <col width="3" customWidth="1" min="4" max="4"/>
    <col width="3" customWidth="1" min="5" max="5"/>
    <col width="3" customWidth="1" min="6" max="6"/>
    <col width="12" customWidth="1" min="7" max="7"/>
    <col width="12" customWidth="1" min="8" max="8"/>
  </cols>
  <sheetData>
    <row r="1" ht="26" customHeight="1">
      <c r="A1" s="12" t="inlineStr">
        <is>
          <t>분기별 제품 생산량</t>
        </is>
      </c>
    </row>
    <row r="2">
      <c r="G2" s="20" t="inlineStr">
        <is>
          <t>통합 결과</t>
        </is>
      </c>
    </row>
    <row r="3">
      <c r="A3" s="20" t="inlineStr">
        <is>
          <t>[1분기]</t>
        </is>
      </c>
      <c r="G3" s="13" t="inlineStr">
        <is>
          <t>제품</t>
        </is>
      </c>
      <c r="H3" s="13" t="inlineStr">
        <is>
          <t>생산량</t>
        </is>
      </c>
    </row>
    <row r="4">
      <c r="A4" s="13" t="inlineStr">
        <is>
          <t>제품</t>
        </is>
      </c>
      <c r="B4" s="13" t="inlineStr">
        <is>
          <t>생산량</t>
        </is>
      </c>
      <c r="G4" s="18" t="inlineStr">
        <is>
          <t>감속기어</t>
        </is>
      </c>
      <c r="H4" s="18" t="n"/>
    </row>
    <row r="5">
      <c r="A5" s="18" t="inlineStr">
        <is>
          <t>감속기어</t>
        </is>
      </c>
      <c r="B5" s="18" t="n">
        <v>820</v>
      </c>
      <c r="G5" s="18" t="inlineStr">
        <is>
          <t>구동축</t>
        </is>
      </c>
      <c r="H5" s="18" t="n"/>
    </row>
    <row r="6">
      <c r="A6" s="18" t="inlineStr">
        <is>
          <t>구동축</t>
        </is>
      </c>
      <c r="B6" s="18" t="n">
        <v>510</v>
      </c>
      <c r="G6" s="18" t="inlineStr">
        <is>
          <t>밸브블록</t>
        </is>
      </c>
      <c r="H6" s="18" t="n"/>
    </row>
    <row r="7">
      <c r="A7" s="18" t="inlineStr">
        <is>
          <t>밸브블록</t>
        </is>
      </c>
      <c r="B7" s="18" t="n">
        <v>640</v>
      </c>
      <c r="G7" s="18" t="inlineStr">
        <is>
          <t>커플링</t>
        </is>
      </c>
      <c r="H7" s="18" t="n"/>
    </row>
    <row r="8">
      <c r="A8" s="18" t="inlineStr">
        <is>
          <t>커플링</t>
        </is>
      </c>
      <c r="B8" s="18" t="n">
        <v>230</v>
      </c>
      <c r="G8" s="18" t="inlineStr">
        <is>
          <t>베어링</t>
        </is>
      </c>
      <c r="H8" s="18" t="n"/>
    </row>
    <row r="10">
      <c r="A10" s="20" t="inlineStr">
        <is>
          <t>[2분기]</t>
        </is>
      </c>
    </row>
    <row r="11">
      <c r="A11" s="13" t="inlineStr">
        <is>
          <t>제품</t>
        </is>
      </c>
      <c r="B11" s="13" t="inlineStr">
        <is>
          <t>생산량</t>
        </is>
      </c>
    </row>
    <row r="12">
      <c r="A12" s="18" t="inlineStr">
        <is>
          <t>구동축</t>
        </is>
      </c>
      <c r="B12" s="18" t="n">
        <v>600</v>
      </c>
    </row>
    <row r="13">
      <c r="A13" s="18" t="inlineStr">
        <is>
          <t>감속기어</t>
        </is>
      </c>
      <c r="B13" s="18" t="n">
        <v>910</v>
      </c>
    </row>
    <row r="14">
      <c r="A14" s="18" t="inlineStr">
        <is>
          <t>베어링</t>
        </is>
      </c>
      <c r="B14" s="18" t="n">
        <v>480</v>
      </c>
    </row>
    <row r="15">
      <c r="A15" s="18" t="inlineStr">
        <is>
          <t>밸브블록</t>
        </is>
      </c>
      <c r="B15" s="18" t="n">
        <v>590</v>
      </c>
    </row>
    <row r="17">
      <c r="A17" s="20" t="inlineStr">
        <is>
          <t>[3분기]</t>
        </is>
      </c>
    </row>
    <row r="18">
      <c r="A18" s="13" t="inlineStr">
        <is>
          <t>제품</t>
        </is>
      </c>
      <c r="B18" s="13" t="inlineStr">
        <is>
          <t>생산량</t>
        </is>
      </c>
    </row>
    <row r="19">
      <c r="A19" s="18" t="inlineStr">
        <is>
          <t>밸브블록</t>
        </is>
      </c>
      <c r="B19" s="18" t="n">
        <v>700</v>
      </c>
    </row>
    <row r="20">
      <c r="A20" s="18" t="inlineStr">
        <is>
          <t>커플링</t>
        </is>
      </c>
      <c r="B20" s="18" t="n">
        <v>260</v>
      </c>
    </row>
    <row r="21">
      <c r="A21" s="18" t="inlineStr">
        <is>
          <t>감속기어</t>
        </is>
      </c>
      <c r="B21" s="18" t="n">
        <v>880</v>
      </c>
    </row>
    <row r="22">
      <c r="A22" s="18" t="inlineStr">
        <is>
          <t>베어링</t>
        </is>
      </c>
      <c r="B22" s="18" t="n">
        <v>520</v>
      </c>
    </row>
  </sheetData>
  <mergeCells count="5">
    <mergeCell ref="A1:H1"/>
    <mergeCell ref="G2:H2"/>
    <mergeCell ref="A10:B10"/>
    <mergeCell ref="A17:B17"/>
    <mergeCell ref="A3:B3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6" customHeight="1">
      <c r="A1" s="12" t="inlineStr">
        <is>
          <t>매크로</t>
        </is>
      </c>
    </row>
    <row r="3">
      <c r="A3" s="13" t="inlineStr">
        <is>
          <t>일자</t>
        </is>
      </c>
      <c r="B3" s="13" t="inlineStr">
        <is>
          <t>라인</t>
        </is>
      </c>
      <c r="C3" s="13" t="inlineStr">
        <is>
          <t>제품</t>
        </is>
      </c>
      <c r="D3" s="13" t="inlineStr">
        <is>
          <t>계획</t>
        </is>
      </c>
      <c r="E3" s="13" t="inlineStr">
        <is>
          <t>생산</t>
        </is>
      </c>
      <c r="F3" s="13" t="inlineStr">
        <is>
          <t>달성률</t>
        </is>
      </c>
    </row>
    <row r="4">
      <c r="A4" s="17" t="n">
        <v>46266</v>
      </c>
      <c r="B4" s="18" t="inlineStr">
        <is>
          <t>A</t>
        </is>
      </c>
      <c r="C4" s="18" t="inlineStr">
        <is>
          <t>감속기어</t>
        </is>
      </c>
      <c r="D4" s="18" t="n">
        <v>300</v>
      </c>
      <c r="E4" s="18" t="n">
        <v>296</v>
      </c>
      <c r="F4" s="23" t="n"/>
    </row>
    <row r="5">
      <c r="A5" s="17" t="n">
        <v>46266</v>
      </c>
      <c r="B5" s="18" t="inlineStr">
        <is>
          <t>B</t>
        </is>
      </c>
      <c r="C5" s="18" t="inlineStr">
        <is>
          <t>구동축</t>
        </is>
      </c>
      <c r="D5" s="18" t="n">
        <v>200</v>
      </c>
      <c r="E5" s="18" t="n">
        <v>212</v>
      </c>
      <c r="F5" s="23" t="n"/>
    </row>
    <row r="6">
      <c r="A6" s="17" t="n">
        <v>46267</v>
      </c>
      <c r="B6" s="18" t="inlineStr">
        <is>
          <t>C</t>
        </is>
      </c>
      <c r="C6" s="18" t="inlineStr">
        <is>
          <t>밸브블록</t>
        </is>
      </c>
      <c r="D6" s="18" t="n">
        <v>400</v>
      </c>
      <c r="E6" s="18" t="n">
        <v>372</v>
      </c>
      <c r="F6" s="23" t="n"/>
    </row>
    <row r="7">
      <c r="A7" s="17" t="n">
        <v>46267</v>
      </c>
      <c r="B7" s="18" t="inlineStr">
        <is>
          <t>A</t>
        </is>
      </c>
      <c r="C7" s="18" t="inlineStr">
        <is>
          <t>베어링유닛</t>
        </is>
      </c>
      <c r="D7" s="18" t="n">
        <v>500</v>
      </c>
      <c r="E7" s="18" t="n">
        <v>498</v>
      </c>
      <c r="F7" s="23" t="n"/>
    </row>
    <row r="8">
      <c r="A8" s="17" t="n">
        <v>46268</v>
      </c>
      <c r="B8" s="18" t="inlineStr">
        <is>
          <t>B</t>
        </is>
      </c>
      <c r="C8" s="18" t="inlineStr">
        <is>
          <t>감속기어</t>
        </is>
      </c>
      <c r="D8" s="18" t="n">
        <v>300</v>
      </c>
      <c r="E8" s="18" t="n">
        <v>305</v>
      </c>
      <c r="F8" s="23" t="n"/>
    </row>
    <row r="9">
      <c r="A9" s="17" t="n">
        <v>46268</v>
      </c>
      <c r="B9" s="18" t="inlineStr">
        <is>
          <t>C</t>
        </is>
      </c>
      <c r="C9" s="18" t="inlineStr">
        <is>
          <t>커플링</t>
        </is>
      </c>
      <c r="D9" s="18" t="n">
        <v>100</v>
      </c>
      <c r="E9" s="18" t="n">
        <v>96</v>
      </c>
      <c r="F9" s="23" t="n"/>
    </row>
  </sheetData>
  <mergeCells count="1">
    <mergeCell ref="A1:G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24" t="inlineStr">
        <is>
          <t>라인별 계획 대비 생산</t>
        </is>
      </c>
    </row>
    <row r="3">
      <c r="A3" s="13" t="inlineStr">
        <is>
          <t>라인</t>
        </is>
      </c>
      <c r="B3" s="13" t="inlineStr">
        <is>
          <t>계획</t>
        </is>
      </c>
      <c r="C3" s="13" t="inlineStr">
        <is>
          <t>생산</t>
        </is>
      </c>
    </row>
    <row r="4">
      <c r="A4" s="18" t="inlineStr">
        <is>
          <t>A라인</t>
        </is>
      </c>
      <c r="B4" s="25" t="n">
        <v>1500</v>
      </c>
      <c r="C4" s="25" t="n">
        <v>1462</v>
      </c>
    </row>
    <row r="5">
      <c r="A5" s="18" t="inlineStr">
        <is>
          <t>B라인</t>
        </is>
      </c>
      <c r="B5" s="25" t="n">
        <v>1200</v>
      </c>
      <c r="C5" s="25" t="n">
        <v>1244</v>
      </c>
    </row>
    <row r="6">
      <c r="A6" s="18" t="inlineStr">
        <is>
          <t>C라인</t>
        </is>
      </c>
      <c r="B6" s="25" t="n">
        <v>1000</v>
      </c>
      <c r="C6" s="25" t="n">
        <v>948</v>
      </c>
    </row>
    <row r="7">
      <c r="A7" s="18" t="inlineStr">
        <is>
          <t>D라인</t>
        </is>
      </c>
      <c r="B7" s="25" t="n">
        <v>800</v>
      </c>
      <c r="C7" s="25" t="n">
        <v>812</v>
      </c>
    </row>
  </sheetData>
  <printOptions horizontalCentered="1"/>
  <pageMargins left="0.3" right="0.3" top="0.4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F30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7" customWidth="1" min="3" max="3"/>
    <col width="9" customWidth="1" min="4" max="4"/>
    <col width="9" customWidth="1" min="5" max="5"/>
    <col width="40" customWidth="1" min="6" max="6"/>
    <col width="8" customWidth="1" min="7" max="7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</cols>
  <sheetData>
    <row r="1" ht="26" customHeight="1">
      <c r="A1" s="12" t="inlineStr">
        <is>
          <t>채점표 — 제2회 (자동 칸은 저절로, '스스로' 칸은 O / X 를 고르세요)</t>
        </is>
      </c>
    </row>
    <row r="3" ht="24" customHeight="1">
      <c r="A3" s="26" t="inlineStr">
        <is>
          <t>작업</t>
        </is>
      </c>
      <c r="B3" s="26" t="inlineStr">
        <is>
          <t>문항</t>
        </is>
      </c>
      <c r="C3" s="26" t="inlineStr">
        <is>
          <t>배점</t>
        </is>
      </c>
      <c r="D3" s="26" t="inlineStr">
        <is>
          <t>방식</t>
        </is>
      </c>
      <c r="E3" s="26" t="inlineStr">
        <is>
          <t>점수</t>
        </is>
      </c>
      <c r="F3" s="26" t="inlineStr">
        <is>
          <t>확인 방법</t>
        </is>
      </c>
      <c r="G3" s="27" t="inlineStr">
        <is>
          <t>O / X</t>
        </is>
      </c>
    </row>
    <row r="4" ht="30" customHeight="1">
      <c r="A4" s="18" t="inlineStr">
        <is>
          <t>기본작업-1</t>
        </is>
      </c>
      <c r="B4" s="28" t="inlineStr">
        <is>
          <t>자료 입력 (36칸 모두 정확히)</t>
        </is>
      </c>
      <c r="C4" s="18" t="n">
        <v>5</v>
      </c>
      <c r="D4" s="18" t="inlineStr">
        <is>
          <t>자동</t>
        </is>
      </c>
      <c r="E4" s="29">
        <f>IF(SUMPRODUCT(--EXACT('기본작업-1'!$A$4:$F$9&amp;"",'채점표'!$AA$4:$AF$9&amp;""))=36,5,0)</f>
        <v/>
      </c>
      <c r="F4" s="30" t="inlineStr">
        <is>
          <t>자동 — 한 칸이라도 다르면 0점 (실제 시험과 같음)</t>
        </is>
      </c>
      <c r="AA4" t="inlineStr">
        <is>
          <t>WO-2610-01</t>
        </is>
      </c>
      <c r="AB4" t="inlineStr">
        <is>
          <t>감속기어</t>
        </is>
      </c>
      <c r="AC4" t="inlineStr">
        <is>
          <t>A</t>
        </is>
      </c>
      <c r="AD4" s="16" t="n">
        <v>46296</v>
      </c>
      <c r="AE4" t="n">
        <v>300</v>
      </c>
      <c r="AF4" s="16" t="n">
        <v>46303</v>
      </c>
    </row>
    <row r="5" ht="30" customHeight="1">
      <c r="A5" s="18" t="inlineStr">
        <is>
          <t>기본작업-2</t>
        </is>
      </c>
      <c r="B5" s="28" t="inlineStr">
        <is>
          <t>1) [A1:G1] 셀을 병합하여 가운데 맞춤, 글꼴 '돋움' · 17pt · 밑줄</t>
        </is>
      </c>
      <c r="C5" s="18" t="n">
        <v>2</v>
      </c>
      <c r="D5" s="18" t="inlineStr">
        <is>
          <t>스스로</t>
        </is>
      </c>
      <c r="E5" s="31">
        <f>IF(G5="O",C5,0)</f>
        <v/>
      </c>
      <c r="F5" s="30" t="inlineStr">
        <is>
          <t>제목 칸이 합쳐지고 밑줄</t>
        </is>
      </c>
      <c r="G5" s="32" t="n"/>
      <c r="AA5" t="inlineStr">
        <is>
          <t>WO-2610-02</t>
        </is>
      </c>
      <c r="AB5" t="inlineStr">
        <is>
          <t>구동축</t>
        </is>
      </c>
      <c r="AC5" t="inlineStr">
        <is>
          <t>B</t>
        </is>
      </c>
      <c r="AD5" s="16" t="n">
        <v>46296</v>
      </c>
      <c r="AE5" t="n">
        <v>150</v>
      </c>
      <c r="AF5" s="16" t="n">
        <v>46305</v>
      </c>
    </row>
    <row r="6" ht="30" customHeight="1">
      <c r="A6" s="18" t="inlineStr">
        <is>
          <t>기본작업-2</t>
        </is>
      </c>
      <c r="B6" s="28" t="inlineStr">
        <is>
          <t>2) [A3:G3] 영역에 셀 스타일 '강조색1' 적용</t>
        </is>
      </c>
      <c r="C6" s="18" t="n">
        <v>2</v>
      </c>
      <c r="D6" s="18" t="inlineStr">
        <is>
          <t>스스로</t>
        </is>
      </c>
      <c r="E6" s="31">
        <f>IF(G6="O",C6,0)</f>
        <v/>
      </c>
      <c r="F6" s="30" t="inlineStr">
        <is>
          <t>머리글 줄이 파란 계열 스타일</t>
        </is>
      </c>
      <c r="G6" s="32" t="n"/>
      <c r="AA6" t="inlineStr">
        <is>
          <t>WO-2610-03</t>
        </is>
      </c>
      <c r="AB6" t="inlineStr">
        <is>
          <t>밸브블록</t>
        </is>
      </c>
      <c r="AC6" t="inlineStr">
        <is>
          <t>C</t>
        </is>
      </c>
      <c r="AD6" s="16" t="n">
        <v>46297</v>
      </c>
      <c r="AE6" t="n">
        <v>420</v>
      </c>
      <c r="AF6" s="16" t="n">
        <v>46304</v>
      </c>
    </row>
    <row r="7" ht="30" customHeight="1">
      <c r="A7" s="18" t="inlineStr">
        <is>
          <t>기본작업-2</t>
        </is>
      </c>
      <c r="B7" s="28" t="inlineStr">
        <is>
          <t>3) [A4:A11] 영역에 사용자 지정 서식 "mm월 dd일(aaa)" 적용 (예: 09월 01일(화))</t>
        </is>
      </c>
      <c r="C7" s="18" t="n">
        <v>2</v>
      </c>
      <c r="D7" s="18" t="inlineStr">
        <is>
          <t>스스로</t>
        </is>
      </c>
      <c r="E7" s="31">
        <f>IF(G7="O",C7,0)</f>
        <v/>
      </c>
      <c r="F7" s="30" t="inlineStr">
        <is>
          <t>A4 가 09월 01일(화)</t>
        </is>
      </c>
      <c r="G7" s="32" t="n"/>
      <c r="AA7" t="inlineStr">
        <is>
          <t>WO-2610-04</t>
        </is>
      </c>
      <c r="AB7" t="inlineStr">
        <is>
          <t>베어링유닛</t>
        </is>
      </c>
      <c r="AC7" t="inlineStr">
        <is>
          <t>A</t>
        </is>
      </c>
      <c r="AD7" s="16" t="n">
        <v>46300</v>
      </c>
      <c r="AE7" t="n">
        <v>500</v>
      </c>
      <c r="AF7" s="16" t="n">
        <v>46309</v>
      </c>
    </row>
    <row r="8" ht="30" customHeight="1">
      <c r="A8" s="18" t="inlineStr">
        <is>
          <t>기본작업-2</t>
        </is>
      </c>
      <c r="B8" s="28" t="inlineStr">
        <is>
          <t>4) [G4:G11] 영역의 이름을 '불량률' 로 정의</t>
        </is>
      </c>
      <c r="C8" s="18" t="n">
        <v>2</v>
      </c>
      <c r="D8" s="18" t="inlineStr">
        <is>
          <t>자동</t>
        </is>
      </c>
      <c r="E8" s="29">
        <f>IF(ISREF(불량률),2,0)</f>
        <v/>
      </c>
      <c r="F8" s="30" t="inlineStr">
        <is>
          <t>자동 채점 — 이름 상자에 '불량률'</t>
        </is>
      </c>
      <c r="AA8" t="inlineStr">
        <is>
          <t>WO-2610-05</t>
        </is>
      </c>
      <c r="AB8" t="inlineStr">
        <is>
          <t>감속기어</t>
        </is>
      </c>
      <c r="AC8" t="inlineStr">
        <is>
          <t>B</t>
        </is>
      </c>
      <c r="AD8" s="16" t="n">
        <v>46301</v>
      </c>
      <c r="AE8" t="n">
        <v>280</v>
      </c>
      <c r="AF8" s="16" t="n">
        <v>46308</v>
      </c>
    </row>
    <row r="9" ht="30" customHeight="1">
      <c r="A9" s="18" t="inlineStr">
        <is>
          <t>기본작업-2</t>
        </is>
      </c>
      <c r="B9" s="28" t="inlineStr">
        <is>
          <t>5) [E3] 셀에 '실제 생산 수량' 이라는 메모 삽입 (항상 표시)</t>
        </is>
      </c>
      <c r="C9" s="18" t="n">
        <v>2</v>
      </c>
      <c r="D9" s="18" t="inlineStr">
        <is>
          <t>스스로</t>
        </is>
      </c>
      <c r="E9" s="31">
        <f>IF(G9="O",C9,0)</f>
        <v/>
      </c>
      <c r="F9" s="30" t="inlineStr">
        <is>
          <t>E3 옆에 메모 상자가 늘 보임</t>
        </is>
      </c>
      <c r="G9" s="32" t="n"/>
      <c r="AA9" t="inlineStr">
        <is>
          <t>WO-2610-06</t>
        </is>
      </c>
      <c r="AB9" t="inlineStr">
        <is>
          <t>커플링</t>
        </is>
      </c>
      <c r="AC9" t="inlineStr">
        <is>
          <t>C</t>
        </is>
      </c>
      <c r="AD9" s="16" t="n">
        <v>46302</v>
      </c>
      <c r="AE9" t="n">
        <v>90</v>
      </c>
      <c r="AF9" s="16" t="n">
        <v>46307</v>
      </c>
    </row>
    <row r="10" ht="44" customHeight="1">
      <c r="A10" s="18" t="inlineStr">
        <is>
          <t>기본작업-3</t>
        </is>
      </c>
      <c r="B10" s="28" t="inlineStr">
        <is>
          <t>조건부 서식 — 불량이 8 이상인 행 — 9월 2일 C · 9월 2일 A · 9월 4일 A — 행 전체가 굵은 빨강</t>
        </is>
      </c>
      <c r="C10" s="18" t="n">
        <v>5</v>
      </c>
      <c r="D10" s="18" t="inlineStr">
        <is>
          <t>스스로</t>
        </is>
      </c>
      <c r="E10" s="31">
        <f>IF(G10="O",C10,0)</f>
        <v/>
      </c>
      <c r="F10" s="30" t="inlineStr">
        <is>
          <t>불량이 8 이상인 행 — 9월 2일 C · 9월 2일 A · 9월 4일 A — 행 전체가 굵은 빨강 (그 세 줄만 빨강) / 수식이 =$F4&gt;=8 (F 앞에만 $) ([조건부 서식] → [규칙 관리] 에서 확인)</t>
        </is>
      </c>
      <c r="G10" s="32" t="n"/>
    </row>
    <row r="11" ht="30" customHeight="1">
      <c r="A11" s="18" t="inlineStr">
        <is>
          <t>계산작업</t>
        </is>
      </c>
      <c r="B11" s="28" t="inlineStr">
        <is>
          <t>1. [표1] 기능 평가 [D3:D10]</t>
        </is>
      </c>
      <c r="C11" s="18" t="n">
        <v>8</v>
      </c>
      <c r="D11" s="18" t="inlineStr">
        <is>
          <t>자동</t>
        </is>
      </c>
      <c r="E11" s="29">
        <f>IF(COUNTIF('계산작업'!$AB$3:$AB$10,TRUE)=8,8,0)</f>
        <v/>
      </c>
      <c r="F11" s="30" t="inlineStr">
        <is>
          <t>자동 — 8칸 모두 맞아야 8점</t>
        </is>
      </c>
      <c r="AA11" t="n">
        <v>2610</v>
      </c>
    </row>
    <row r="12" ht="30" customHeight="1">
      <c r="A12" s="18" t="inlineStr">
        <is>
          <t>계산작업</t>
        </is>
      </c>
      <c r="B12" s="28" t="inlineStr">
        <is>
          <t>2. [표2] 로트 관리 [C15:C20]</t>
        </is>
      </c>
      <c r="C12" s="18" t="n">
        <v>8</v>
      </c>
      <c r="D12" s="18" t="inlineStr">
        <is>
          <t>자동</t>
        </is>
      </c>
      <c r="E12" s="29">
        <f>IF(COUNTIF('계산작업'!$AB$15:$AB$20,TRUE)=6,8,0)</f>
        <v/>
      </c>
      <c r="F12" s="30" t="inlineStr">
        <is>
          <t>자동 — 6칸 모두 맞아야 8점</t>
        </is>
      </c>
      <c r="AA12" t="n">
        <v>1110</v>
      </c>
    </row>
    <row r="13" ht="30" customHeight="1">
      <c r="A13" s="18" t="inlineStr">
        <is>
          <t>계산작업</t>
        </is>
      </c>
      <c r="B13" s="28" t="inlineStr">
        <is>
          <t>3. [표3] 라인별 작업시간 [F25:F27]</t>
        </is>
      </c>
      <c r="C13" s="18" t="n">
        <v>8</v>
      </c>
      <c r="D13" s="18" t="inlineStr">
        <is>
          <t>자동</t>
        </is>
      </c>
      <c r="E13" s="29">
        <f>IF(COUNTIF('계산작업'!$AB$25:$AB$27,TRUE)=3,8,0)</f>
        <v/>
      </c>
      <c r="F13" s="30" t="inlineStr">
        <is>
          <t>자동 — 3칸 모두 맞아야 8점</t>
        </is>
      </c>
      <c r="AA13" t="n">
        <v>1930</v>
      </c>
    </row>
    <row r="14" ht="30" customHeight="1">
      <c r="A14" s="18" t="inlineStr">
        <is>
          <t>계산작업</t>
        </is>
      </c>
      <c r="B14" s="28" t="inlineStr">
        <is>
          <t>4. [표4] 품질 점수 등급 [D37:D42]</t>
        </is>
      </c>
      <c r="C14" s="18" t="n">
        <v>8</v>
      </c>
      <c r="D14" s="18" t="inlineStr">
        <is>
          <t>자동</t>
        </is>
      </c>
      <c r="E14" s="29">
        <f>IF(COUNTIF('계산작업'!$AB$37:$AB$42,TRUE)=6,8,0)</f>
        <v/>
      </c>
      <c r="F14" s="30" t="inlineStr">
        <is>
          <t>자동 — 6칸 모두 맞아야 8점</t>
        </is>
      </c>
      <c r="AA14" t="n">
        <v>490</v>
      </c>
    </row>
    <row r="15" ht="30" customHeight="1">
      <c r="A15" s="18" t="inlineStr">
        <is>
          <t>계산작업</t>
        </is>
      </c>
      <c r="B15" s="28" t="inlineStr">
        <is>
          <t>5. [표5] 라인 A 생산 평균 [G47]</t>
        </is>
      </c>
      <c r="C15" s="18" t="n">
        <v>8</v>
      </c>
      <c r="D15" s="18" t="inlineStr">
        <is>
          <t>자동</t>
        </is>
      </c>
      <c r="E15" s="29">
        <f>IF(COUNTIF('계산작업'!$AB$47:$AB$47,TRUE)=1,8,0)</f>
        <v/>
      </c>
      <c r="F15" s="30" t="inlineStr">
        <is>
          <t>자동 — 1칸 모두 맞아야 8점</t>
        </is>
      </c>
      <c r="AA15" t="n">
        <v>1000</v>
      </c>
    </row>
    <row r="16" ht="30" customHeight="1">
      <c r="A16" s="18" t="inlineStr">
        <is>
          <t>분석작업-1</t>
        </is>
      </c>
      <c r="B16" s="28" t="inlineStr">
        <is>
          <t>피벗 1) 피벗 테이블이 H3 에서 시작하고 행에 A·B·C, 열에 제품 이름</t>
        </is>
      </c>
      <c r="C16" s="18" t="n">
        <v>4</v>
      </c>
      <c r="D16" s="18" t="inlineStr">
        <is>
          <t>스스로</t>
        </is>
      </c>
      <c r="E16" s="31">
        <f>IF(G16="O",C16,0)</f>
        <v/>
      </c>
      <c r="F16" s="30" t="inlineStr">
        <is>
          <t>H3 칸을 누르면 [피벗 테이블 분석] 메뉴가 나타남</t>
        </is>
      </c>
      <c r="G16" s="32" t="n"/>
    </row>
    <row r="17" ht="30" customHeight="1">
      <c r="A17" s="18" t="inlineStr">
        <is>
          <t>분석작업-1</t>
        </is>
      </c>
      <c r="B17" s="28" t="inlineStr">
        <is>
          <t>피벗 2) A 라인 총합계 1,372 · B 라인 932 · C 라인 748 · 전체 3,052</t>
        </is>
      </c>
      <c r="C17" s="18" t="n">
        <v>3</v>
      </c>
      <c r="D17" s="18" t="inlineStr">
        <is>
          <t>스스로</t>
        </is>
      </c>
      <c r="E17" s="31">
        <f>IF(G17="O",C17,0)</f>
        <v/>
      </c>
      <c r="F17" s="30" t="inlineStr">
        <is>
          <t>맨 오른쪽 '총합계' 열</t>
        </is>
      </c>
      <c r="G17" s="32" t="n"/>
    </row>
    <row r="18" ht="30" customHeight="1">
      <c r="A18" s="18" t="inlineStr">
        <is>
          <t>분석작업-1</t>
        </is>
      </c>
      <c r="B18" s="28" t="inlineStr">
        <is>
          <t>피벗 3) 레이아웃이 '표 형식' (머리글에 '라인', '제품' 이 보임)</t>
        </is>
      </c>
      <c r="C18" s="18" t="n">
        <v>3</v>
      </c>
      <c r="D18" s="18" t="inlineStr">
        <is>
          <t>스스로</t>
        </is>
      </c>
      <c r="E18" s="31">
        <f>IF(G18="O",C18,0)</f>
        <v/>
      </c>
      <c r="F18" s="30" t="inlineStr">
        <is>
          <t>[디자인] → [보고서 레이아웃]</t>
        </is>
      </c>
      <c r="G18" s="32" t="n"/>
    </row>
    <row r="19" ht="30" customHeight="1">
      <c r="A19" s="18" t="inlineStr">
        <is>
          <t>분석작업-2</t>
        </is>
      </c>
      <c r="B19" s="28" t="inlineStr">
        <is>
          <t>통합 — 제품별 생산량 합계 [H4:H8]</t>
        </is>
      </c>
      <c r="C19" s="18" t="n">
        <v>10</v>
      </c>
      <c r="D19" s="18" t="inlineStr">
        <is>
          <t>자동</t>
        </is>
      </c>
      <c r="E19" s="29">
        <f>IF(SUMPRODUCT(--('분석작업-2'!$H$4:$H$8='채점표'!$AA$11:$AA$15))=5,10,0)</f>
        <v/>
      </c>
      <c r="F19" s="30" t="inlineStr">
        <is>
          <t>자동</t>
        </is>
      </c>
    </row>
    <row r="20" ht="44" customHeight="1">
      <c r="A20" s="18" t="inlineStr">
        <is>
          <t>기타작업-1</t>
        </is>
      </c>
      <c r="B20" s="28" t="inlineStr">
        <is>
          <t>매크로 1) [F4:F9] 에 달성률(생산÷계획)을 구하는 '달성률' 매크로 — [H3] 위치 '빗면' 도형(텍스트 '달성률')에 연결</t>
        </is>
      </c>
      <c r="C20" s="18" t="n">
        <v>5</v>
      </c>
      <c r="D20" s="18" t="inlineStr">
        <is>
          <t>스스로</t>
        </is>
      </c>
      <c r="E20" s="31">
        <f>IF(G20="O",C20,0)</f>
        <v/>
      </c>
      <c r="F20" s="30" t="inlineStr">
        <is>
          <t>F4 에 =E4/D4 가 들어가고 도형을 누르면 다시 채워짐</t>
        </is>
      </c>
      <c r="G20" s="32" t="n"/>
    </row>
    <row r="21" ht="44" customHeight="1">
      <c r="A21" s="18" t="inlineStr">
        <is>
          <t>기타작업-1</t>
        </is>
      </c>
      <c r="B21" s="28" t="inlineStr">
        <is>
          <t>매크로 2) [F4:F9] 에 백분율 스타일(%)을 적용하는 '백분율' 매크로 — [H6] 위치 '빗면' 도형(텍스트 '백분율')에 연결</t>
        </is>
      </c>
      <c r="C21" s="18" t="n">
        <v>5</v>
      </c>
      <c r="D21" s="18" t="inlineStr">
        <is>
          <t>스스로</t>
        </is>
      </c>
      <c r="E21" s="31">
        <f>IF(G21="O",C21,0)</f>
        <v/>
      </c>
      <c r="F21" s="30" t="inlineStr">
        <is>
          <t>도형을 누르면 99% 처럼 보임</t>
        </is>
      </c>
      <c r="G21" s="32" t="n"/>
    </row>
    <row r="22" ht="30" customHeight="1">
      <c r="A22" s="18" t="inlineStr">
        <is>
          <t>기타작업-2</t>
        </is>
      </c>
      <c r="B22" s="28" t="inlineStr">
        <is>
          <t>차트 1) 차트 종류를 '묶은 가로 막대형' 으로 바꾸시오</t>
        </is>
      </c>
      <c r="C22" s="18" t="n">
        <v>2</v>
      </c>
      <c r="D22" s="18" t="inlineStr">
        <is>
          <t>스스로</t>
        </is>
      </c>
      <c r="E22" s="31">
        <f>IF(G22="O",C22,0)</f>
        <v/>
      </c>
      <c r="F22" s="30" t="inlineStr">
        <is>
          <t>막대가 옆으로 누움</t>
        </is>
      </c>
      <c r="G22" s="32" t="n"/>
    </row>
    <row r="23" ht="30" customHeight="1">
      <c r="A23" s="18" t="inlineStr">
        <is>
          <t>기타작업-2</t>
        </is>
      </c>
      <c r="B23" s="28" t="inlineStr">
        <is>
          <t>차트 2) 차트 제목을 셀 [A1] 과 연결하시오</t>
        </is>
      </c>
      <c r="C23" s="18" t="n">
        <v>2</v>
      </c>
      <c r="D23" s="18" t="inlineStr">
        <is>
          <t>스스로</t>
        </is>
      </c>
      <c r="E23" s="31">
        <f>IF(G23="O",C23,0)</f>
        <v/>
      </c>
      <c r="F23" s="30" t="inlineStr">
        <is>
          <t>제목을 누르면 수식 입력줄에 ='기타작업-2'!$A$1</t>
        </is>
      </c>
      <c r="G23" s="32" t="n"/>
    </row>
    <row r="24" ht="30" customHeight="1">
      <c r="A24" s="18" t="inlineStr">
        <is>
          <t>기타작업-2</t>
        </is>
      </c>
      <c r="B24" s="28" t="inlineStr">
        <is>
          <t>차트 3) 가로(값) 축의 최소값 600, 주 단위 200 으로 지정하시오</t>
        </is>
      </c>
      <c r="C24" s="18" t="n">
        <v>2</v>
      </c>
      <c r="D24" s="18" t="inlineStr">
        <is>
          <t>스스로</t>
        </is>
      </c>
      <c r="E24" s="31">
        <f>IF(G24="O",C24,0)</f>
        <v/>
      </c>
      <c r="F24" s="30" t="inlineStr">
        <is>
          <t>축이 600 부터</t>
        </is>
      </c>
      <c r="G24" s="32" t="n"/>
    </row>
    <row r="25" ht="30" customHeight="1">
      <c r="A25" s="18" t="inlineStr">
        <is>
          <t>기타작업-2</t>
        </is>
      </c>
      <c r="B25" s="28" t="inlineStr">
        <is>
          <t>차트 4) 생산 계열의 '간격 너비' 를 50% 로 지정하시오</t>
        </is>
      </c>
      <c r="C25" s="18" t="n">
        <v>2</v>
      </c>
      <c r="D25" s="18" t="inlineStr">
        <is>
          <t>스스로</t>
        </is>
      </c>
      <c r="E25" s="31">
        <f>IF(G25="O",C25,0)</f>
        <v/>
      </c>
      <c r="F25" s="30" t="inlineStr">
        <is>
          <t>막대가 굵어짐</t>
        </is>
      </c>
      <c r="G25" s="32" t="n"/>
    </row>
    <row r="26" ht="30" customHeight="1">
      <c r="A26" s="18" t="inlineStr">
        <is>
          <t>기타작업-2</t>
        </is>
      </c>
      <c r="B26" s="28" t="inlineStr">
        <is>
          <t>차트 5) 차트 영역에 '둥근 모서리' 와 그림자(오프셋 오른쪽 아래)를 지정하시오</t>
        </is>
      </c>
      <c r="C26" s="18" t="n">
        <v>2</v>
      </c>
      <c r="D26" s="18" t="inlineStr">
        <is>
          <t>스스로</t>
        </is>
      </c>
      <c r="E26" s="31">
        <f>IF(G26="O",C26,0)</f>
        <v/>
      </c>
      <c r="F26" s="30" t="inlineStr">
        <is>
          <t>차트 테두리가 둥글고 그림자</t>
        </is>
      </c>
      <c r="G26" s="32" t="n"/>
    </row>
    <row r="28">
      <c r="B28" s="33" t="inlineStr">
        <is>
          <t>합계 (100점 만점 · 70점 이상 합격)</t>
        </is>
      </c>
      <c r="E28" s="34">
        <f>SUM(E4:E26)</f>
        <v/>
      </c>
      <c r="F28" s="33">
        <f>IF(E28&gt;=70,"🎉 합격","불합격 — 틀린 작업의 [정답·해설]을 보세요")</f>
        <v/>
      </c>
    </row>
    <row r="30" ht="30" customHeight="1">
      <c r="A30" s="6" t="inlineStr">
        <is>
          <t>'스스로' 문항은 [확인 방법] 을 보고 실제로 그렇게 되어 있으면 O. 한 군데라도 다르면 X (실제 시험은 부분 점수 없음).</t>
        </is>
      </c>
    </row>
  </sheetData>
  <mergeCells count="2">
    <mergeCell ref="A30:G30"/>
    <mergeCell ref="A1:F1"/>
  </mergeCells>
  <conditionalFormatting sqref="F28">
    <cfRule type="expression" priority="1" dxfId="0">
      <formula>ISNUMBER(SEARCH("합격",F28))*(E28&gt;=70)</formula>
    </cfRule>
  </conditionalFormatting>
  <dataValidations count="1">
    <dataValidation sqref="G5 G6 G7 G9 G10 G16 G17 G18 G20 G21 G22 G23 G24 G25 G26" showDropDown="0" showInputMessage="0" showErrorMessage="0" allowBlank="1" type="list">
      <formula1>"O,X"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</cols>
  <sheetData>
    <row r="1" ht="26" customHeight="1">
      <c r="A1" s="12" t="inlineStr">
        <is>
          <t>정답·해설 — 제2회 (먼저 스스로 끝까지 풀고 보세요)</t>
        </is>
      </c>
    </row>
    <row r="3" ht="24" customHeight="1">
      <c r="A3" s="26" t="inlineStr">
        <is>
          <t>작업</t>
        </is>
      </c>
      <c r="B3" s="26" t="inlineStr">
        <is>
          <t>무엇을</t>
        </is>
      </c>
      <c r="C3" s="26" t="inlineStr">
        <is>
          <t>어떻게 · 정답</t>
        </is>
      </c>
    </row>
    <row r="4" ht="22" customHeight="1">
      <c r="A4" s="35" t="inlineStr">
        <is>
          <t>기본작업-1</t>
        </is>
      </c>
      <c r="B4" s="28" t="inlineStr">
        <is>
          <t>자료 입력</t>
        </is>
      </c>
      <c r="C4" s="28" t="inlineStr">
        <is>
          <t>문제지의 자료를 A4 부터 한 칸씩. 날짜는 2026-03-02 처럼 - 로 입력하면 날짜로 들어갑니다.</t>
        </is>
      </c>
    </row>
    <row r="5" ht="22" customHeight="1">
      <c r="A5" s="35" t="inlineStr">
        <is>
          <t>기본작업-2</t>
        </is>
      </c>
      <c r="B5" s="28" t="inlineStr">
        <is>
          <t>1) [A1:G1] 셀을 병합하여 가운데 맞춤, 글꼴 '돋움' · 17pt · 밑줄</t>
        </is>
      </c>
      <c r="C5" s="28" t="inlineStr">
        <is>
          <t>제목 칸이 합쳐지고 밑줄</t>
        </is>
      </c>
    </row>
    <row r="6" ht="22" customHeight="1">
      <c r="A6" s="35" t="inlineStr">
        <is>
          <t>기본작업-2</t>
        </is>
      </c>
      <c r="B6" s="28" t="inlineStr">
        <is>
          <t>2) [A3:G3] 영역에 셀 스타일 '강조색1' 적용</t>
        </is>
      </c>
      <c r="C6" s="28" t="inlineStr">
        <is>
          <t>머리글 줄이 파란 계열 스타일</t>
        </is>
      </c>
    </row>
    <row r="7" ht="22" customHeight="1">
      <c r="A7" s="35" t="inlineStr">
        <is>
          <t>기본작업-2</t>
        </is>
      </c>
      <c r="B7" s="28" t="inlineStr">
        <is>
          <t>3) [A4:A11] 영역에 사용자 지정 서식 "mm월 dd일(aaa)" 적용 (예: 09월 01일(화))</t>
        </is>
      </c>
      <c r="C7" s="28" t="inlineStr">
        <is>
          <t>A4 가 09월 01일(화)</t>
        </is>
      </c>
    </row>
    <row r="8" ht="22" customHeight="1">
      <c r="A8" s="35" t="inlineStr">
        <is>
          <t>기본작업-2</t>
        </is>
      </c>
      <c r="B8" s="28" t="inlineStr">
        <is>
          <t>4) [G4:G11] 영역의 이름을 '불량률' 로 정의</t>
        </is>
      </c>
      <c r="C8" s="28" t="inlineStr">
        <is>
          <t>자동 채점 — 이름 상자에 '불량률'</t>
        </is>
      </c>
    </row>
    <row r="9" ht="22" customHeight="1">
      <c r="A9" s="35" t="inlineStr">
        <is>
          <t>기본작업-2</t>
        </is>
      </c>
      <c r="B9" s="28" t="inlineStr">
        <is>
          <t>5) [E3] 셀에 '실제 생산 수량' 이라는 메모 삽입 (항상 표시)</t>
        </is>
      </c>
      <c r="C9" s="28" t="inlineStr">
        <is>
          <t>E3 옆에 메모 상자가 늘 보임</t>
        </is>
      </c>
    </row>
    <row r="10" ht="60" customHeight="1">
      <c r="A10" s="35" t="inlineStr">
        <is>
          <t>기본작업-3</t>
        </is>
      </c>
      <c r="B10" s="28" t="inlineStr">
        <is>
          <t>조건부 서식</t>
        </is>
      </c>
      <c r="C10" s="28" t="inlineStr">
        <is>
          <t>A4:G11 선택 → [홈] → [조건부 서식] → [새 규칙]
'수식을 사용하여 서식을 지정할 셀 결정' → 수식 =$F4&gt;=8
[서식] → 글꼴 : 굵게 · 빨강 → 확인</t>
        </is>
      </c>
    </row>
    <row r="11" ht="30" customHeight="1">
      <c r="A11" s="35" t="inlineStr">
        <is>
          <t>계산작업</t>
        </is>
      </c>
      <c r="B11" s="28" t="inlineStr">
        <is>
          <t>1. [표1] 기능 평가 → [D3:D10]</t>
        </is>
      </c>
      <c r="C11" s="36" t="inlineStr">
        <is>
          <t>=IF(AND(B3&gt;=60,C3&gt;=60,AVERAGE(B3:C3)&gt;=70),"합격","불합격")   (첫 칸에 넣고 끝까지 끌어내리기)</t>
        </is>
      </c>
    </row>
    <row r="12" ht="22" customHeight="1">
      <c r="A12" s="35" t="inlineStr">
        <is>
          <t>계산작업</t>
        </is>
      </c>
      <c r="B12" s="28" t="inlineStr">
        <is>
          <t>2. [표2] 로트 관리 → [C15:C20]</t>
        </is>
      </c>
      <c r="C12" s="36" t="inlineStr">
        <is>
          <t>=MID(A15,4,2)&amp;"월"   (첫 칸에 넣고 끝까지 끌어내리기)</t>
        </is>
      </c>
    </row>
    <row r="13" ht="30" customHeight="1">
      <c r="A13" s="35" t="inlineStr">
        <is>
          <t>계산작업</t>
        </is>
      </c>
      <c r="B13" s="28" t="inlineStr">
        <is>
          <t>3. [표3] 라인별 작업시간 → [F25:F27]</t>
        </is>
      </c>
      <c r="C13" s="36" t="inlineStr">
        <is>
          <t>=ROUNDUP(AVERAGEIF($A$25:$A$32,E25,$C$25:$C$32),1)   (첫 칸에 넣고 끝까지 끌어내리기)</t>
        </is>
      </c>
    </row>
    <row r="14" ht="22" customHeight="1">
      <c r="A14" s="35" t="inlineStr">
        <is>
          <t>계산작업</t>
        </is>
      </c>
      <c r="B14" s="28" t="inlineStr">
        <is>
          <t>4. [표4] 품질 점수 등급 → [D37:D42]</t>
        </is>
      </c>
      <c r="C14" s="36" t="inlineStr">
        <is>
          <t>=HLOOKUP(C37,$H$36:$L$37,2,TRUE)   (첫 칸에 넣고 끝까지 끌어내리기)</t>
        </is>
      </c>
    </row>
    <row r="15" ht="22" customHeight="1">
      <c r="A15" s="35" t="inlineStr">
        <is>
          <t>계산작업</t>
        </is>
      </c>
      <c r="B15" s="28" t="inlineStr">
        <is>
          <t>5. [표5] 라인 A 생산 평균 → [G47]</t>
        </is>
      </c>
      <c r="C15" s="36" t="inlineStr">
        <is>
          <t>=ROUNDDOWN(DAVERAGE(A46:D52,3,F46:F47),0)</t>
        </is>
      </c>
    </row>
    <row r="16" ht="60" customHeight="1">
      <c r="A16" s="35" t="inlineStr">
        <is>
          <t>분석작업-1</t>
        </is>
      </c>
      <c r="B16" s="28" t="inlineStr">
        <is>
          <t>[분석작업-1] 시트의 표를 이용하여 피벗 테이블을 만드시오.</t>
        </is>
      </c>
      <c r="C16" s="28" t="inlineStr">
        <is>
          <t>표 안 아무 칸 → [삽입] → [피벗 테이블] → '기존 워크시트' H3
라인 → 행, 제품 → 열, 생산 → 값(합계)
[디자인] → [보고서 레이아웃] → '표 형식으로 표시'</t>
        </is>
      </c>
    </row>
    <row r="17" ht="60" customHeight="1">
      <c r="A17" s="35" t="inlineStr">
        <is>
          <t>분석작업-2</t>
        </is>
      </c>
      <c r="B17" s="28" t="inlineStr">
        <is>
          <t>[분석작업-2] 시트에서 [표1]~[표3] 세 분기의 제품별 생산량 '합계' 를 [G4:H8] 에 통합하시오.</t>
        </is>
      </c>
      <c r="C17" s="28" t="inlineStr">
        <is>
          <t>G3:H8 (머리글 포함) 선택 → [데이터] → [통합]
함수 '합계', 참조에 세 표를 머리글까지 각각 [추가] (예: A4:B8)
'첫 행' · '왼쪽 열' 체크 → 확인</t>
        </is>
      </c>
    </row>
    <row r="18" ht="45" customHeight="1">
      <c r="A18" s="35" t="inlineStr">
        <is>
          <t>기타작업-1</t>
        </is>
      </c>
      <c r="B18" s="28" t="inlineStr">
        <is>
          <t>매크로 만들기 (공통 순서)</t>
        </is>
      </c>
      <c r="C18" s="28" t="inlineStr">
        <is>
          <t>[개발 도구] → [삽입] → 단추(양식 컨트롤) 또는 [삽입] → [도형] 을 그리고 → 매크로 이름 입력 → [기록]
→ 할 일을 한 번 하고 → [기록 중지] → 단추 텍스트 바꾸기.  (A1 등 엉뚱한 칸을 누르지 않도록)</t>
        </is>
      </c>
    </row>
    <row r="19" ht="22" customHeight="1">
      <c r="A19" s="35" t="inlineStr">
        <is>
          <t>기타작업-2</t>
        </is>
      </c>
      <c r="B19" s="28" t="inlineStr">
        <is>
          <t>1) 차트 종류를 '묶은 가로 막대형' 으로 바꾸시오</t>
        </is>
      </c>
      <c r="C19" s="28" t="inlineStr">
        <is>
          <t>막대가 옆으로 누움</t>
        </is>
      </c>
    </row>
    <row r="20" ht="22" customHeight="1">
      <c r="A20" s="35" t="inlineStr">
        <is>
          <t>기타작업-2</t>
        </is>
      </c>
      <c r="B20" s="28" t="inlineStr">
        <is>
          <t>2) 차트 제목을 셀 [A1] 과 연결하시오</t>
        </is>
      </c>
      <c r="C20" s="28" t="inlineStr">
        <is>
          <t>제목을 누르면 수식 입력줄에 ='기타작업-2'!$A$1</t>
        </is>
      </c>
    </row>
    <row r="21" ht="22" customHeight="1">
      <c r="A21" s="35" t="inlineStr">
        <is>
          <t>기타작업-2</t>
        </is>
      </c>
      <c r="B21" s="28" t="inlineStr">
        <is>
          <t>3) 가로(값) 축의 최소값 600, 주 단위 200 으로 지정하시오</t>
        </is>
      </c>
      <c r="C21" s="28" t="inlineStr">
        <is>
          <t>축이 600 부터</t>
        </is>
      </c>
    </row>
    <row r="22" ht="22" customHeight="1">
      <c r="A22" s="35" t="inlineStr">
        <is>
          <t>기타작업-2</t>
        </is>
      </c>
      <c r="B22" s="28" t="inlineStr">
        <is>
          <t>4) 생산 계열의 '간격 너비' 를 50% 로 지정하시오</t>
        </is>
      </c>
      <c r="C22" s="28" t="inlineStr">
        <is>
          <t>막대가 굵어짐</t>
        </is>
      </c>
    </row>
    <row r="23" ht="22" customHeight="1">
      <c r="A23" s="35" t="inlineStr">
        <is>
          <t>기타작업-2</t>
        </is>
      </c>
      <c r="B23" s="28" t="inlineStr">
        <is>
          <t>5) 차트 영역에 '둥근 모서리' 와 그림자(오프셋 오른쪽 아래)를 지정하시오</t>
        </is>
      </c>
      <c r="C23" s="28" t="inlineStr">
        <is>
          <t>차트 테두리가 둥글고 그림자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2026-09-28T00:39:54Z</dcterms:created>
  <dcterms:modified xmlns:dcterms="http://purl.org/dc/terms/" xmlns:xsi="http://www.w3.org/2001/XMLSchema-instance" xsi:type="dcterms:W3CDTF">2026-09-28T00:39:54Z</dcterms:modified>
</cp:coreProperties>
</file>