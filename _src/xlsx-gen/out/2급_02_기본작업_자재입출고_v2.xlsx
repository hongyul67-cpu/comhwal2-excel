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자재입출고" sheetId="2" state="visible" r:id="rId2"/>
    <sheet xmlns:r="http://schemas.openxmlformats.org/officeDocument/2006/relationships" name="고급필터" sheetId="3" state="visible" r:id="rId3"/>
    <sheet xmlns:r="http://schemas.openxmlformats.org/officeDocument/2006/relationships" name="목록" sheetId="4" state="visible" r:id="rId4"/>
    <sheet xmlns:r="http://schemas.openxmlformats.org/officeDocument/2006/relationships" name="미션" sheetId="5" state="visible" r:id="rId5"/>
    <sheet xmlns:r="http://schemas.openxmlformats.org/officeDocument/2006/relationships" name="따라하기" sheetId="6" state="visible" r:id="rId6"/>
    <sheet xmlns:r="http://schemas.openxmlformats.org/officeDocument/2006/relationships" name="계산 문제 정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  <sz val="11"/>
    </font>
    <font>
      <i val="1"/>
      <color rgb="00A6A6A6"/>
    </font>
    <font>
      <b val="1"/>
      <color rgb="002E5C8A"/>
    </font>
    <font>
      <b val="1"/>
      <color rgb="001F4E79"/>
    </font>
    <font>
      <b val="1"/>
      <color rgb="001F3864"/>
      <sz val="14"/>
    </font>
    <font>
      <b val="1"/>
      <color rgb="002E5C8A"/>
      <sz val="10.5"/>
    </font>
    <font>
      <sz val="10.5"/>
    </font>
    <font>
      <b val="1"/>
      <sz val="10"/>
    </font>
    <font>
      <color rgb="007F7F7F"/>
      <sz val="10"/>
    </font>
    <font>
      <b val="1"/>
      <color rgb="00C55A11"/>
      <sz val="11.5"/>
    </font>
    <font>
      <b val="1"/>
    </font>
    <font>
      <sz val="10"/>
    </font>
    <font>
      <sz val="13"/>
    </font>
    <font>
      <b val="1"/>
      <color rgb="00FFFFFF"/>
      <sz val="12"/>
    </font>
    <font>
      <b val="1"/>
      <color rgb="00C55A11"/>
      <sz val="10"/>
    </font>
    <font>
      <b val="1"/>
      <color rgb="00C55A11"/>
      <sz val="10.5"/>
    </font>
    <font>
      <b val="1"/>
      <color rgb="002E5C8A"/>
      <sz val="10"/>
    </font>
    <font>
      <b val="1"/>
      <color rgb="00006100"/>
      <sz val="10"/>
    </font>
    <font>
      <color rgb="00006100"/>
      <sz val="10.5"/>
    </font>
    <font>
      <b val="1"/>
      <color rgb="00FFFFFF"/>
      <sz val="11.5"/>
    </font>
    <font>
      <b val="1"/>
      <color rgb="00C55A11"/>
    </font>
    <font>
      <name val="Consolas"/>
      <b val="1"/>
      <color rgb="001F4E79"/>
      <sz val="10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7EEF8"/>
      </patternFill>
    </fill>
    <fill>
      <patternFill patternType="solid">
        <fgColor rgb="007B4FBF"/>
      </patternFill>
    </fill>
    <fill>
      <patternFill patternType="solid">
        <fgColor rgb="00EBF7EE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3" fontId="6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1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0" borderId="1" applyAlignment="1" pivotButton="0" quotePrefix="0" xfId="0">
      <alignment vertical="center" wrapText="1"/>
    </xf>
    <xf numFmtId="0" fontId="17" fillId="4" borderId="1" applyAlignment="1" pivotButton="0" quotePrefix="0" xfId="0">
      <alignment horizontal="center" vertical="center"/>
    </xf>
    <xf numFmtId="0" fontId="18" fillId="3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7" borderId="0" applyAlignment="1" pivotButton="0" quotePrefix="0" xfId="0">
      <alignment vertical="center" wrapText="1"/>
    </xf>
    <xf numFmtId="0" fontId="24" fillId="8" borderId="0" applyAlignment="1" pivotButton="0" quotePrefix="0" xfId="0">
      <alignment vertical="center"/>
    </xf>
    <xf numFmtId="0" fontId="2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vertical="center" wrapText="1"/>
    </xf>
    <xf numFmtId="0" fontId="26" fillId="9" borderId="1" applyAlignment="1" pivotButton="0" quotePrefix="0" xfId="0">
      <alignment vertical="center" wrapText="1"/>
    </xf>
    <xf numFmtId="0" fontId="27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② 기본작업 — 자재 입출고 대장</t>
        </is>
      </c>
    </row>
    <row r="3" ht="19" customHeight="1">
      <c r="B3" s="2" t="inlineStr"/>
    </row>
    <row r="4" ht="19" customHeight="1">
      <c r="B4" s="2" t="inlineStr">
        <is>
          <t>실기 1번 문제(기본작업)에서 나오는 것들을 이 한 장에서 연습합니다. 자료는 40건입니다.</t>
        </is>
      </c>
    </row>
    <row r="5" ht="19" customHeight="1">
      <c r="B5" s="2" t="inlineStr"/>
    </row>
    <row r="6" ht="24" customHeight="1">
      <c r="B6" s="3" t="inlineStr">
        <is>
          <t>시트 안내</t>
        </is>
      </c>
    </row>
    <row r="7" ht="19" customHeight="1">
      <c r="B7" s="2" t="inlineStr">
        <is>
          <t>자재입출고 — 40건. H열 금액이 비어 있고, 표 아래에 계산 문제 6개가 있습니다.</t>
        </is>
      </c>
    </row>
    <row r="8" ht="19" customHeight="1">
      <c r="B8" s="2" t="inlineStr">
        <is>
          <t>미션       — 해야 할 일 14가지 체크리스트 (□ 칸에 v 를 쳐 가며)</t>
        </is>
      </c>
    </row>
    <row r="9" ht="19" customHeight="1">
      <c r="B9" s="2" t="inlineStr">
        <is>
          <t>따라하기   — 미션 14가지를 1단계·2단계… 로 풀어 쓴 것 (이것이 정답입니다)</t>
        </is>
      </c>
    </row>
    <row r="10" ht="19" customHeight="1">
      <c r="B10" s="2" t="inlineStr">
        <is>
          <t>고급필터   — 조건 범위를 직접 만들어 결과를 뽑아내는 자리</t>
        </is>
      </c>
    </row>
    <row r="11" ht="19" customHeight="1">
      <c r="B11" s="2" t="inlineStr">
        <is>
          <t>목록       — 데이터 유효성 검사에서 쓸 목록</t>
        </is>
      </c>
    </row>
    <row r="12" ht="19" customHeight="1">
      <c r="B12" s="2" t="inlineStr"/>
    </row>
    <row r="13" ht="24" customHeight="1">
      <c r="B13" s="3" t="inlineStr">
        <is>
          <t>기본작업에서 늘 나오는 것</t>
        </is>
      </c>
    </row>
    <row r="14" ht="19" customHeight="1">
      <c r="B14" s="2" t="inlineStr">
        <is>
          <t>① 제목 만들기(병합하고 가운데 맞춤)  ② 사용자 지정 표시 형식  ③ 조건부 서식</t>
        </is>
      </c>
    </row>
    <row r="15" ht="19" customHeight="1">
      <c r="B15" s="2" t="inlineStr">
        <is>
          <t>④ 고급 필터  ⑤ 데이터 유효성 검사  ⑥ 틀 고정  ⑦ 셀 서식·테두리  ⑧ 이름 정의</t>
        </is>
      </c>
    </row>
    <row r="16" ht="34" customHeight="1">
      <c r="B16" s="4" t="inlineStr">
        <is>
          <t>고급 필터의 조건 범위는 '머리글 글자가 원본과 똑같아야' 동작합니다. 여기서 가장 많이 틀립니다.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AB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8" customWidth="1" min="5" max="5"/>
    <col width="9" customWidth="1" min="6" max="6"/>
    <col width="11" customWidth="1" min="7" max="7"/>
    <col width="13" customWidth="1" min="8" max="8"/>
    <col width="10" customWidth="1" min="9" max="9"/>
    <col width="10" customWidth="1" min="10" max="10"/>
    <col width="3" customWidth="1" min="11" max="11"/>
    <col width="12" customWidth="1" min="12" max="12"/>
    <col width="12" customWidth="1" min="13" max="13"/>
    <col width="12" customWidth="1" min="14" max="14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3" ht="24" customHeight="1">
      <c r="A3" s="5" t="inlineStr">
        <is>
          <t>입출고일</t>
        </is>
      </c>
      <c r="B3" s="5" t="inlineStr">
        <is>
          <t>전표번호</t>
        </is>
      </c>
      <c r="C3" s="5" t="inlineStr">
        <is>
          <t>자재코드</t>
        </is>
      </c>
      <c r="D3" s="5" t="inlineStr">
        <is>
          <t>자재명</t>
        </is>
      </c>
      <c r="E3" s="5" t="inlineStr">
        <is>
          <t>구분</t>
        </is>
      </c>
      <c r="F3" s="5" t="inlineStr">
        <is>
          <t>수량</t>
        </is>
      </c>
      <c r="G3" s="5" t="inlineStr">
        <is>
          <t>단가</t>
        </is>
      </c>
      <c r="H3" s="5" t="inlineStr">
        <is>
          <t>금액</t>
        </is>
      </c>
      <c r="I3" s="5" t="inlineStr">
        <is>
          <t>창고</t>
        </is>
      </c>
      <c r="J3" s="5" t="inlineStr">
        <is>
          <t>담당자</t>
        </is>
      </c>
    </row>
    <row r="4">
      <c r="A4" s="6" t="n">
        <v>46083</v>
      </c>
      <c r="B4" s="7" t="inlineStr">
        <is>
          <t>IN-2601</t>
        </is>
      </c>
      <c r="C4" s="8" t="inlineStr">
        <is>
          <t>BR-01</t>
        </is>
      </c>
      <c r="D4" s="7" t="inlineStr">
        <is>
          <t>베어링 6204</t>
        </is>
      </c>
      <c r="E4" s="8" t="inlineStr">
        <is>
          <t>입고</t>
        </is>
      </c>
      <c r="F4" s="9" t="n">
        <v>25</v>
      </c>
      <c r="G4" s="9" t="n">
        <v>3200</v>
      </c>
      <c r="H4" s="10" t="n">
        <v>0</v>
      </c>
      <c r="I4" s="8" t="inlineStr">
        <is>
          <t>1창고</t>
        </is>
      </c>
      <c r="J4" s="8" t="inlineStr">
        <is>
          <t>김현수</t>
        </is>
      </c>
      <c r="AB4">
        <f>F4*G4</f>
        <v/>
      </c>
    </row>
    <row r="5">
      <c r="A5" s="6" t="n">
        <v>46083</v>
      </c>
      <c r="B5" s="7" t="inlineStr">
        <is>
          <t>OT-2601</t>
        </is>
      </c>
      <c r="C5" s="8" t="inlineStr">
        <is>
          <t>SM-45</t>
        </is>
      </c>
      <c r="D5" s="7" t="inlineStr">
        <is>
          <t>SM45C 환봉</t>
        </is>
      </c>
      <c r="E5" s="8" t="inlineStr">
        <is>
          <t>출고</t>
        </is>
      </c>
      <c r="F5" s="9" t="n">
        <v>6</v>
      </c>
      <c r="G5" s="9" t="n">
        <v>18500</v>
      </c>
      <c r="H5" s="11" t="n"/>
      <c r="I5" s="8" t="inlineStr">
        <is>
          <t>2창고</t>
        </is>
      </c>
      <c r="J5" s="8" t="inlineStr">
        <is>
          <t>박지훈</t>
        </is>
      </c>
      <c r="AB5">
        <f>F5*G5</f>
        <v/>
      </c>
    </row>
    <row r="6">
      <c r="A6" s="6" t="n">
        <v>46084</v>
      </c>
      <c r="B6" s="7" t="inlineStr">
        <is>
          <t>IN-2602</t>
        </is>
      </c>
      <c r="C6" s="8" t="inlineStr">
        <is>
          <t>HS-12</t>
        </is>
      </c>
      <c r="D6" s="7" t="inlineStr">
        <is>
          <t>유압호스 1/2</t>
        </is>
      </c>
      <c r="E6" s="8" t="inlineStr">
        <is>
          <t>입고</t>
        </is>
      </c>
      <c r="F6" s="9" t="n">
        <v>40</v>
      </c>
      <c r="G6" s="9" t="n">
        <v>7400</v>
      </c>
      <c r="H6" s="11" t="n"/>
      <c r="I6" s="8" t="inlineStr">
        <is>
          <t>3창고</t>
        </is>
      </c>
      <c r="J6" s="8" t="inlineStr">
        <is>
          <t>이서연</t>
        </is>
      </c>
      <c r="AB6">
        <f>F6*G6</f>
        <v/>
      </c>
    </row>
    <row r="7">
      <c r="A7" s="6" t="n">
        <v>46084</v>
      </c>
      <c r="B7" s="7" t="inlineStr">
        <is>
          <t>OT-2602</t>
        </is>
      </c>
      <c r="C7" s="8" t="inlineStr">
        <is>
          <t>LG-30</t>
        </is>
      </c>
      <c r="D7" s="7" t="inlineStr">
        <is>
          <t>리니어 가이드</t>
        </is>
      </c>
      <c r="E7" s="8" t="inlineStr">
        <is>
          <t>출고</t>
        </is>
      </c>
      <c r="F7" s="9" t="n">
        <v>9</v>
      </c>
      <c r="G7" s="9" t="n">
        <v>96000</v>
      </c>
      <c r="H7" s="11" t="n"/>
      <c r="I7" s="8" t="inlineStr">
        <is>
          <t>1창고</t>
        </is>
      </c>
      <c r="J7" s="8" t="inlineStr">
        <is>
          <t>최민재</t>
        </is>
      </c>
      <c r="AB7">
        <f>F7*G7</f>
        <v/>
      </c>
    </row>
    <row r="8">
      <c r="A8" s="6" t="n">
        <v>46085</v>
      </c>
      <c r="B8" s="7" t="inlineStr">
        <is>
          <t>IN-2603</t>
        </is>
      </c>
      <c r="C8" s="8" t="inlineStr">
        <is>
          <t>VB-08</t>
        </is>
      </c>
      <c r="D8" s="7" t="inlineStr">
        <is>
          <t>밸브블록</t>
        </is>
      </c>
      <c r="E8" s="8" t="inlineStr">
        <is>
          <t>입고</t>
        </is>
      </c>
      <c r="F8" s="9" t="n">
        <v>12</v>
      </c>
      <c r="G8" s="9" t="n">
        <v>33000</v>
      </c>
      <c r="H8" s="11" t="n"/>
      <c r="I8" s="8" t="inlineStr">
        <is>
          <t>2창고</t>
        </is>
      </c>
      <c r="J8" s="8" t="inlineStr">
        <is>
          <t>김현수</t>
        </is>
      </c>
      <c r="AB8">
        <f>F8*G8</f>
        <v/>
      </c>
    </row>
    <row r="9">
      <c r="A9" s="6" t="n">
        <v>46085</v>
      </c>
      <c r="B9" s="7" t="inlineStr">
        <is>
          <t>OT-2603</t>
        </is>
      </c>
      <c r="C9" s="8" t="inlineStr">
        <is>
          <t>GR-02</t>
        </is>
      </c>
      <c r="D9" s="7" t="inlineStr">
        <is>
          <t>감속기어</t>
        </is>
      </c>
      <c r="E9" s="8" t="inlineStr">
        <is>
          <t>출고</t>
        </is>
      </c>
      <c r="F9" s="9" t="n">
        <v>120</v>
      </c>
      <c r="G9" s="9" t="n">
        <v>45000</v>
      </c>
      <c r="H9" s="11" t="n"/>
      <c r="I9" s="8" t="inlineStr">
        <is>
          <t>3창고</t>
        </is>
      </c>
      <c r="J9" s="8" t="inlineStr">
        <is>
          <t>박지훈</t>
        </is>
      </c>
      <c r="AB9">
        <f>F9*G9</f>
        <v/>
      </c>
    </row>
    <row r="10">
      <c r="A10" s="6" t="n">
        <v>46086</v>
      </c>
      <c r="B10" s="7" t="inlineStr">
        <is>
          <t>IN-2604</t>
        </is>
      </c>
      <c r="C10" s="8" t="inlineStr">
        <is>
          <t>SH-03</t>
        </is>
      </c>
      <c r="D10" s="7" t="inlineStr">
        <is>
          <t>구동축</t>
        </is>
      </c>
      <c r="E10" s="8" t="inlineStr">
        <is>
          <t>입고</t>
        </is>
      </c>
      <c r="F10" s="9" t="n">
        <v>30</v>
      </c>
      <c r="G10" s="9" t="n">
        <v>78000</v>
      </c>
      <c r="H10" s="11" t="n"/>
      <c r="I10" s="8" t="inlineStr">
        <is>
          <t>1창고</t>
        </is>
      </c>
      <c r="J10" s="8" t="inlineStr">
        <is>
          <t>이서연</t>
        </is>
      </c>
      <c r="AB10">
        <f>F10*G10</f>
        <v/>
      </c>
    </row>
    <row r="11">
      <c r="A11" s="6" t="n">
        <v>46086</v>
      </c>
      <c r="B11" s="7" t="inlineStr">
        <is>
          <t>OT-2604</t>
        </is>
      </c>
      <c r="C11" s="8" t="inlineStr">
        <is>
          <t>BT-05</t>
        </is>
      </c>
      <c r="D11" s="7" t="inlineStr">
        <is>
          <t>타이밍벨트</t>
        </is>
      </c>
      <c r="E11" s="8" t="inlineStr">
        <is>
          <t>출고</t>
        </is>
      </c>
      <c r="F11" s="9" t="n">
        <v>9</v>
      </c>
      <c r="G11" s="9" t="n">
        <v>8600</v>
      </c>
      <c r="H11" s="11" t="n"/>
      <c r="I11" s="8" t="inlineStr">
        <is>
          <t>2창고</t>
        </is>
      </c>
      <c r="J11" s="8" t="inlineStr">
        <is>
          <t>최민재</t>
        </is>
      </c>
      <c r="AB11">
        <f>F11*G11</f>
        <v/>
      </c>
    </row>
    <row r="12">
      <c r="A12" s="6" t="n">
        <v>46088</v>
      </c>
      <c r="B12" s="7" t="inlineStr">
        <is>
          <t>IN-2605</t>
        </is>
      </c>
      <c r="C12" s="8" t="inlineStr">
        <is>
          <t>BR-01</t>
        </is>
      </c>
      <c r="D12" s="7" t="inlineStr">
        <is>
          <t>베어링 6204</t>
        </is>
      </c>
      <c r="E12" s="8" t="inlineStr">
        <is>
          <t>입고</t>
        </is>
      </c>
      <c r="F12" s="9" t="n">
        <v>120</v>
      </c>
      <c r="G12" s="9" t="n">
        <v>3200</v>
      </c>
      <c r="H12" s="11" t="n"/>
      <c r="I12" s="8" t="inlineStr">
        <is>
          <t>3창고</t>
        </is>
      </c>
      <c r="J12" s="8" t="inlineStr">
        <is>
          <t>김현수</t>
        </is>
      </c>
      <c r="AB12">
        <f>F12*G12</f>
        <v/>
      </c>
    </row>
    <row r="13">
      <c r="A13" s="6" t="n">
        <v>46088</v>
      </c>
      <c r="B13" s="7" t="inlineStr">
        <is>
          <t>OT-2605</t>
        </is>
      </c>
      <c r="C13" s="8" t="inlineStr">
        <is>
          <t>SM-45</t>
        </is>
      </c>
      <c r="D13" s="7" t="inlineStr">
        <is>
          <t>SM45C 환봉</t>
        </is>
      </c>
      <c r="E13" s="8" t="inlineStr">
        <is>
          <t>출고</t>
        </is>
      </c>
      <c r="F13" s="9" t="n">
        <v>6</v>
      </c>
      <c r="G13" s="9" t="n">
        <v>18500</v>
      </c>
      <c r="H13" s="11" t="n"/>
      <c r="I13" s="8" t="inlineStr">
        <is>
          <t>1창고</t>
        </is>
      </c>
      <c r="J13" s="8" t="inlineStr">
        <is>
          <t>박지훈</t>
        </is>
      </c>
      <c r="AB13">
        <f>F13*G13</f>
        <v/>
      </c>
    </row>
    <row r="14">
      <c r="A14" s="6" t="n">
        <v>46089</v>
      </c>
      <c r="B14" s="7" t="inlineStr">
        <is>
          <t>IN-2606</t>
        </is>
      </c>
      <c r="C14" s="8" t="inlineStr">
        <is>
          <t>HS-12</t>
        </is>
      </c>
      <c r="D14" s="7" t="inlineStr">
        <is>
          <t>유압호스 1/2</t>
        </is>
      </c>
      <c r="E14" s="8" t="inlineStr">
        <is>
          <t>입고</t>
        </is>
      </c>
      <c r="F14" s="9" t="n">
        <v>12</v>
      </c>
      <c r="G14" s="9" t="n">
        <v>7400</v>
      </c>
      <c r="H14" s="11" t="n"/>
      <c r="I14" s="8" t="inlineStr">
        <is>
          <t>2창고</t>
        </is>
      </c>
      <c r="J14" s="8" t="inlineStr">
        <is>
          <t>이서연</t>
        </is>
      </c>
      <c r="AB14">
        <f>F14*G14</f>
        <v/>
      </c>
    </row>
    <row r="15">
      <c r="A15" s="6" t="n">
        <v>46089</v>
      </c>
      <c r="B15" s="7" t="inlineStr">
        <is>
          <t>OT-2606</t>
        </is>
      </c>
      <c r="C15" s="8" t="inlineStr">
        <is>
          <t>LG-30</t>
        </is>
      </c>
      <c r="D15" s="7" t="inlineStr">
        <is>
          <t>리니어 가이드</t>
        </is>
      </c>
      <c r="E15" s="8" t="inlineStr">
        <is>
          <t>출고</t>
        </is>
      </c>
      <c r="F15" s="9" t="n">
        <v>95</v>
      </c>
      <c r="G15" s="9" t="n">
        <v>96000</v>
      </c>
      <c r="H15" s="11" t="n"/>
      <c r="I15" s="8" t="inlineStr">
        <is>
          <t>3창고</t>
        </is>
      </c>
      <c r="J15" s="8" t="inlineStr">
        <is>
          <t>최민재</t>
        </is>
      </c>
      <c r="AB15">
        <f>F15*G15</f>
        <v/>
      </c>
    </row>
    <row r="16">
      <c r="A16" s="6" t="n">
        <v>46090</v>
      </c>
      <c r="B16" s="7" t="inlineStr">
        <is>
          <t>IN-2607</t>
        </is>
      </c>
      <c r="C16" s="8" t="inlineStr">
        <is>
          <t>VB-08</t>
        </is>
      </c>
      <c r="D16" s="7" t="inlineStr">
        <is>
          <t>밸브블록</t>
        </is>
      </c>
      <c r="E16" s="8" t="inlineStr">
        <is>
          <t>입고</t>
        </is>
      </c>
      <c r="F16" s="9" t="n">
        <v>6</v>
      </c>
      <c r="G16" s="9" t="n">
        <v>33000</v>
      </c>
      <c r="H16" s="11" t="n"/>
      <c r="I16" s="8" t="inlineStr">
        <is>
          <t>1창고</t>
        </is>
      </c>
      <c r="J16" s="8" t="inlineStr">
        <is>
          <t>김현수</t>
        </is>
      </c>
      <c r="AB16">
        <f>F16*G16</f>
        <v/>
      </c>
    </row>
    <row r="17">
      <c r="A17" s="6" t="n">
        <v>46090</v>
      </c>
      <c r="B17" s="7" t="inlineStr">
        <is>
          <t>OT-2607</t>
        </is>
      </c>
      <c r="C17" s="8" t="inlineStr">
        <is>
          <t>GR-02</t>
        </is>
      </c>
      <c r="D17" s="7" t="inlineStr">
        <is>
          <t>감속기어</t>
        </is>
      </c>
      <c r="E17" s="8" t="inlineStr">
        <is>
          <t>출고</t>
        </is>
      </c>
      <c r="F17" s="9" t="n">
        <v>55</v>
      </c>
      <c r="G17" s="9" t="n">
        <v>45000</v>
      </c>
      <c r="H17" s="11" t="n"/>
      <c r="I17" s="8" t="inlineStr">
        <is>
          <t>2창고</t>
        </is>
      </c>
      <c r="J17" s="8" t="inlineStr">
        <is>
          <t>박지훈</t>
        </is>
      </c>
      <c r="AB17">
        <f>F17*G17</f>
        <v/>
      </c>
    </row>
    <row r="18">
      <c r="A18" s="6" t="n">
        <v>46091</v>
      </c>
      <c r="B18" s="7" t="inlineStr">
        <is>
          <t>IN-2608</t>
        </is>
      </c>
      <c r="C18" s="8" t="inlineStr">
        <is>
          <t>SH-03</t>
        </is>
      </c>
      <c r="D18" s="7" t="inlineStr">
        <is>
          <t>구동축</t>
        </is>
      </c>
      <c r="E18" s="8" t="inlineStr">
        <is>
          <t>입고</t>
        </is>
      </c>
      <c r="F18" s="9" t="n">
        <v>25</v>
      </c>
      <c r="G18" s="9" t="n">
        <v>78000</v>
      </c>
      <c r="H18" s="11" t="n"/>
      <c r="I18" s="8" t="inlineStr">
        <is>
          <t>3창고</t>
        </is>
      </c>
      <c r="J18" s="8" t="inlineStr">
        <is>
          <t>이서연</t>
        </is>
      </c>
      <c r="AB18">
        <f>F18*G18</f>
        <v/>
      </c>
    </row>
    <row r="19">
      <c r="A19" s="6" t="n">
        <v>46091</v>
      </c>
      <c r="B19" s="7" t="inlineStr">
        <is>
          <t>OT-2608</t>
        </is>
      </c>
      <c r="C19" s="8" t="inlineStr">
        <is>
          <t>BT-05</t>
        </is>
      </c>
      <c r="D19" s="7" t="inlineStr">
        <is>
          <t>타이밍벨트</t>
        </is>
      </c>
      <c r="E19" s="8" t="inlineStr">
        <is>
          <t>출고</t>
        </is>
      </c>
      <c r="F19" s="9" t="n">
        <v>40</v>
      </c>
      <c r="G19" s="9" t="n">
        <v>8600</v>
      </c>
      <c r="H19" s="11" t="n"/>
      <c r="I19" s="8" t="inlineStr">
        <is>
          <t>1창고</t>
        </is>
      </c>
      <c r="J19" s="8" t="inlineStr">
        <is>
          <t>최민재</t>
        </is>
      </c>
      <c r="AB19">
        <f>F19*G19</f>
        <v/>
      </c>
    </row>
    <row r="20">
      <c r="A20" s="6" t="n">
        <v>46093</v>
      </c>
      <c r="B20" s="7" t="inlineStr">
        <is>
          <t>IN-2609</t>
        </is>
      </c>
      <c r="C20" s="8" t="inlineStr">
        <is>
          <t>BR-01</t>
        </is>
      </c>
      <c r="D20" s="7" t="inlineStr">
        <is>
          <t>베어링 6204</t>
        </is>
      </c>
      <c r="E20" s="8" t="inlineStr">
        <is>
          <t>입고</t>
        </is>
      </c>
      <c r="F20" s="9" t="n">
        <v>95</v>
      </c>
      <c r="G20" s="9" t="n">
        <v>3200</v>
      </c>
      <c r="H20" s="11" t="n"/>
      <c r="I20" s="8" t="inlineStr">
        <is>
          <t>2창고</t>
        </is>
      </c>
      <c r="J20" s="8" t="inlineStr">
        <is>
          <t>김현수</t>
        </is>
      </c>
      <c r="AB20">
        <f>F20*G20</f>
        <v/>
      </c>
    </row>
    <row r="21">
      <c r="A21" s="6" t="n">
        <v>46093</v>
      </c>
      <c r="B21" s="7" t="inlineStr">
        <is>
          <t>OT-2609</t>
        </is>
      </c>
      <c r="C21" s="8" t="inlineStr">
        <is>
          <t>SM-45</t>
        </is>
      </c>
      <c r="D21" s="7" t="inlineStr">
        <is>
          <t>SM45C 환봉</t>
        </is>
      </c>
      <c r="E21" s="8" t="inlineStr">
        <is>
          <t>출고</t>
        </is>
      </c>
      <c r="F21" s="9" t="n">
        <v>18</v>
      </c>
      <c r="G21" s="9" t="n">
        <v>18500</v>
      </c>
      <c r="H21" s="11" t="n"/>
      <c r="I21" s="8" t="inlineStr">
        <is>
          <t>3창고</t>
        </is>
      </c>
      <c r="J21" s="8" t="inlineStr">
        <is>
          <t>박지훈</t>
        </is>
      </c>
      <c r="AB21">
        <f>F21*G21</f>
        <v/>
      </c>
    </row>
    <row r="22">
      <c r="A22" s="6" t="n">
        <v>46094</v>
      </c>
      <c r="B22" s="7" t="inlineStr">
        <is>
          <t>IN-2610</t>
        </is>
      </c>
      <c r="C22" s="8" t="inlineStr">
        <is>
          <t>HS-12</t>
        </is>
      </c>
      <c r="D22" s="7" t="inlineStr">
        <is>
          <t>유압호스 1/2</t>
        </is>
      </c>
      <c r="E22" s="8" t="inlineStr">
        <is>
          <t>입고</t>
        </is>
      </c>
      <c r="F22" s="9" t="n">
        <v>40</v>
      </c>
      <c r="G22" s="9" t="n">
        <v>7400</v>
      </c>
      <c r="H22" s="11" t="n"/>
      <c r="I22" s="8" t="inlineStr">
        <is>
          <t>1창고</t>
        </is>
      </c>
      <c r="J22" s="8" t="inlineStr">
        <is>
          <t>이서연</t>
        </is>
      </c>
      <c r="AB22">
        <f>F22*G22</f>
        <v/>
      </c>
    </row>
    <row r="23">
      <c r="A23" s="6" t="n">
        <v>46094</v>
      </c>
      <c r="B23" s="7" t="inlineStr">
        <is>
          <t>OT-2610</t>
        </is>
      </c>
      <c r="C23" s="8" t="inlineStr">
        <is>
          <t>LG-30</t>
        </is>
      </c>
      <c r="D23" s="7" t="inlineStr">
        <is>
          <t>리니어 가이드</t>
        </is>
      </c>
      <c r="E23" s="8" t="inlineStr">
        <is>
          <t>출고</t>
        </is>
      </c>
      <c r="F23" s="9" t="n">
        <v>120</v>
      </c>
      <c r="G23" s="9" t="n">
        <v>96000</v>
      </c>
      <c r="H23" s="11" t="n"/>
      <c r="I23" s="8" t="inlineStr">
        <is>
          <t>2창고</t>
        </is>
      </c>
      <c r="J23" s="8" t="inlineStr">
        <is>
          <t>최민재</t>
        </is>
      </c>
      <c r="AB23">
        <f>F23*G23</f>
        <v/>
      </c>
    </row>
    <row r="24">
      <c r="A24" s="6" t="n">
        <v>46095</v>
      </c>
      <c r="B24" s="7" t="inlineStr">
        <is>
          <t>IN-2611</t>
        </is>
      </c>
      <c r="C24" s="8" t="inlineStr">
        <is>
          <t>VB-08</t>
        </is>
      </c>
      <c r="D24" s="7" t="inlineStr">
        <is>
          <t>밸브블록</t>
        </is>
      </c>
      <c r="E24" s="8" t="inlineStr">
        <is>
          <t>입고</t>
        </is>
      </c>
      <c r="F24" s="9" t="n">
        <v>40</v>
      </c>
      <c r="G24" s="9" t="n">
        <v>33000</v>
      </c>
      <c r="H24" s="11" t="n"/>
      <c r="I24" s="8" t="inlineStr">
        <is>
          <t>3창고</t>
        </is>
      </c>
      <c r="J24" s="8" t="inlineStr">
        <is>
          <t>김현수</t>
        </is>
      </c>
      <c r="AB24">
        <f>F24*G24</f>
        <v/>
      </c>
    </row>
    <row r="25">
      <c r="A25" s="6" t="n">
        <v>46095</v>
      </c>
      <c r="B25" s="7" t="inlineStr">
        <is>
          <t>OT-2611</t>
        </is>
      </c>
      <c r="C25" s="8" t="inlineStr">
        <is>
          <t>GR-02</t>
        </is>
      </c>
      <c r="D25" s="7" t="inlineStr">
        <is>
          <t>감속기어</t>
        </is>
      </c>
      <c r="E25" s="8" t="inlineStr">
        <is>
          <t>출고</t>
        </is>
      </c>
      <c r="F25" s="9" t="n">
        <v>55</v>
      </c>
      <c r="G25" s="9" t="n">
        <v>45000</v>
      </c>
      <c r="H25" s="11" t="n"/>
      <c r="I25" s="8" t="inlineStr">
        <is>
          <t>1창고</t>
        </is>
      </c>
      <c r="J25" s="8" t="inlineStr">
        <is>
          <t>박지훈</t>
        </is>
      </c>
      <c r="AB25">
        <f>F25*G25</f>
        <v/>
      </c>
    </row>
    <row r="26">
      <c r="A26" s="6" t="n">
        <v>46096</v>
      </c>
      <c r="B26" s="7" t="inlineStr">
        <is>
          <t>IN-2612</t>
        </is>
      </c>
      <c r="C26" s="8" t="inlineStr">
        <is>
          <t>SH-03</t>
        </is>
      </c>
      <c r="D26" s="7" t="inlineStr">
        <is>
          <t>구동축</t>
        </is>
      </c>
      <c r="E26" s="8" t="inlineStr">
        <is>
          <t>입고</t>
        </is>
      </c>
      <c r="F26" s="9" t="n">
        <v>12</v>
      </c>
      <c r="G26" s="9" t="n">
        <v>78000</v>
      </c>
      <c r="H26" s="11" t="n"/>
      <c r="I26" s="8" t="inlineStr">
        <is>
          <t>2창고</t>
        </is>
      </c>
      <c r="J26" s="8" t="inlineStr">
        <is>
          <t>이서연</t>
        </is>
      </c>
      <c r="AB26">
        <f>F26*G26</f>
        <v/>
      </c>
    </row>
    <row r="27">
      <c r="A27" s="6" t="n">
        <v>46096</v>
      </c>
      <c r="B27" s="7" t="inlineStr">
        <is>
          <t>OT-2612</t>
        </is>
      </c>
      <c r="C27" s="8" t="inlineStr">
        <is>
          <t>BT-05</t>
        </is>
      </c>
      <c r="D27" s="7" t="inlineStr">
        <is>
          <t>타이밍벨트</t>
        </is>
      </c>
      <c r="E27" s="8" t="inlineStr">
        <is>
          <t>출고</t>
        </is>
      </c>
      <c r="F27" s="9" t="n">
        <v>55</v>
      </c>
      <c r="G27" s="9" t="n">
        <v>8600</v>
      </c>
      <c r="H27" s="11" t="n"/>
      <c r="I27" s="8" t="inlineStr">
        <is>
          <t>3창고</t>
        </is>
      </c>
      <c r="J27" s="8" t="inlineStr">
        <is>
          <t>최민재</t>
        </is>
      </c>
      <c r="AB27">
        <f>F27*G27</f>
        <v/>
      </c>
    </row>
    <row r="28">
      <c r="A28" s="6" t="n">
        <v>46098</v>
      </c>
      <c r="B28" s="7" t="inlineStr">
        <is>
          <t>IN-2613</t>
        </is>
      </c>
      <c r="C28" s="8" t="inlineStr">
        <is>
          <t>BR-01</t>
        </is>
      </c>
      <c r="D28" s="7" t="inlineStr">
        <is>
          <t>베어링 6204</t>
        </is>
      </c>
      <c r="E28" s="8" t="inlineStr">
        <is>
          <t>입고</t>
        </is>
      </c>
      <c r="F28" s="9" t="n">
        <v>6</v>
      </c>
      <c r="G28" s="9" t="n">
        <v>3200</v>
      </c>
      <c r="H28" s="11" t="n"/>
      <c r="I28" s="8" t="inlineStr">
        <is>
          <t>1창고</t>
        </is>
      </c>
      <c r="J28" s="8" t="inlineStr">
        <is>
          <t>김현수</t>
        </is>
      </c>
      <c r="AB28">
        <f>F28*G28</f>
        <v/>
      </c>
    </row>
    <row r="29">
      <c r="A29" s="6" t="n">
        <v>46098</v>
      </c>
      <c r="B29" s="7" t="inlineStr">
        <is>
          <t>OT-2613</t>
        </is>
      </c>
      <c r="C29" s="8" t="inlineStr">
        <is>
          <t>SM-45</t>
        </is>
      </c>
      <c r="D29" s="7" t="inlineStr">
        <is>
          <t>SM45C 환봉</t>
        </is>
      </c>
      <c r="E29" s="8" t="inlineStr">
        <is>
          <t>출고</t>
        </is>
      </c>
      <c r="F29" s="9" t="n">
        <v>9</v>
      </c>
      <c r="G29" s="9" t="n">
        <v>18500</v>
      </c>
      <c r="H29" s="11" t="n"/>
      <c r="I29" s="8" t="inlineStr">
        <is>
          <t>2창고</t>
        </is>
      </c>
      <c r="J29" s="8" t="inlineStr">
        <is>
          <t>박지훈</t>
        </is>
      </c>
      <c r="AB29">
        <f>F29*G29</f>
        <v/>
      </c>
    </row>
    <row r="30">
      <c r="A30" s="6" t="n">
        <v>46099</v>
      </c>
      <c r="B30" s="7" t="inlineStr">
        <is>
          <t>IN-2614</t>
        </is>
      </c>
      <c r="C30" s="8" t="inlineStr">
        <is>
          <t>HS-12</t>
        </is>
      </c>
      <c r="D30" s="7" t="inlineStr">
        <is>
          <t>유압호스 1/2</t>
        </is>
      </c>
      <c r="E30" s="8" t="inlineStr">
        <is>
          <t>입고</t>
        </is>
      </c>
      <c r="F30" s="9" t="n">
        <v>75</v>
      </c>
      <c r="G30" s="9" t="n">
        <v>7400</v>
      </c>
      <c r="H30" s="11" t="n"/>
      <c r="I30" s="8" t="inlineStr">
        <is>
          <t>3창고</t>
        </is>
      </c>
      <c r="J30" s="8" t="inlineStr">
        <is>
          <t>이서연</t>
        </is>
      </c>
      <c r="AB30">
        <f>F30*G30</f>
        <v/>
      </c>
    </row>
    <row r="31">
      <c r="A31" s="6" t="n">
        <v>46099</v>
      </c>
      <c r="B31" s="7" t="inlineStr">
        <is>
          <t>OT-2614</t>
        </is>
      </c>
      <c r="C31" s="8" t="inlineStr">
        <is>
          <t>LG-30</t>
        </is>
      </c>
      <c r="D31" s="7" t="inlineStr">
        <is>
          <t>리니어 가이드</t>
        </is>
      </c>
      <c r="E31" s="8" t="inlineStr">
        <is>
          <t>출고</t>
        </is>
      </c>
      <c r="F31" s="9" t="n">
        <v>12</v>
      </c>
      <c r="G31" s="9" t="n">
        <v>96000</v>
      </c>
      <c r="H31" s="11" t="n"/>
      <c r="I31" s="8" t="inlineStr">
        <is>
          <t>1창고</t>
        </is>
      </c>
      <c r="J31" s="8" t="inlineStr">
        <is>
          <t>최민재</t>
        </is>
      </c>
      <c r="AB31">
        <f>F31*G31</f>
        <v/>
      </c>
    </row>
    <row r="32">
      <c r="A32" s="6" t="n">
        <v>46100</v>
      </c>
      <c r="B32" s="7" t="inlineStr">
        <is>
          <t>IN-2615</t>
        </is>
      </c>
      <c r="C32" s="8" t="inlineStr">
        <is>
          <t>VB-08</t>
        </is>
      </c>
      <c r="D32" s="7" t="inlineStr">
        <is>
          <t>밸브블록</t>
        </is>
      </c>
      <c r="E32" s="8" t="inlineStr">
        <is>
          <t>입고</t>
        </is>
      </c>
      <c r="F32" s="9" t="n">
        <v>55</v>
      </c>
      <c r="G32" s="9" t="n">
        <v>33000</v>
      </c>
      <c r="H32" s="11" t="n"/>
      <c r="I32" s="8" t="inlineStr">
        <is>
          <t>2창고</t>
        </is>
      </c>
      <c r="J32" s="8" t="inlineStr">
        <is>
          <t>김현수</t>
        </is>
      </c>
      <c r="AB32">
        <f>F32*G32</f>
        <v/>
      </c>
    </row>
    <row r="33">
      <c r="A33" s="6" t="n">
        <v>46100</v>
      </c>
      <c r="B33" s="7" t="inlineStr">
        <is>
          <t>OT-2615</t>
        </is>
      </c>
      <c r="C33" s="8" t="inlineStr">
        <is>
          <t>GR-02</t>
        </is>
      </c>
      <c r="D33" s="7" t="inlineStr">
        <is>
          <t>감속기어</t>
        </is>
      </c>
      <c r="E33" s="8" t="inlineStr">
        <is>
          <t>출고</t>
        </is>
      </c>
      <c r="F33" s="9" t="n">
        <v>18</v>
      </c>
      <c r="G33" s="9" t="n">
        <v>45000</v>
      </c>
      <c r="H33" s="11" t="n"/>
      <c r="I33" s="8" t="inlineStr">
        <is>
          <t>3창고</t>
        </is>
      </c>
      <c r="J33" s="8" t="inlineStr">
        <is>
          <t>박지훈</t>
        </is>
      </c>
      <c r="AB33">
        <f>F33*G33</f>
        <v/>
      </c>
    </row>
    <row r="34">
      <c r="A34" s="6" t="n">
        <v>46101</v>
      </c>
      <c r="B34" s="7" t="inlineStr">
        <is>
          <t>IN-2616</t>
        </is>
      </c>
      <c r="C34" s="8" t="inlineStr">
        <is>
          <t>SH-03</t>
        </is>
      </c>
      <c r="D34" s="7" t="inlineStr">
        <is>
          <t>구동축</t>
        </is>
      </c>
      <c r="E34" s="8" t="inlineStr">
        <is>
          <t>입고</t>
        </is>
      </c>
      <c r="F34" s="9" t="n">
        <v>150</v>
      </c>
      <c r="G34" s="9" t="n">
        <v>78000</v>
      </c>
      <c r="H34" s="11" t="n"/>
      <c r="I34" s="8" t="inlineStr">
        <is>
          <t>1창고</t>
        </is>
      </c>
      <c r="J34" s="8" t="inlineStr">
        <is>
          <t>이서연</t>
        </is>
      </c>
      <c r="AB34">
        <f>F34*G34</f>
        <v/>
      </c>
    </row>
    <row r="35">
      <c r="A35" s="6" t="n">
        <v>46101</v>
      </c>
      <c r="B35" s="7" t="inlineStr">
        <is>
          <t>OT-2616</t>
        </is>
      </c>
      <c r="C35" s="8" t="inlineStr">
        <is>
          <t>BT-05</t>
        </is>
      </c>
      <c r="D35" s="7" t="inlineStr">
        <is>
          <t>타이밍벨트</t>
        </is>
      </c>
      <c r="E35" s="8" t="inlineStr">
        <is>
          <t>출고</t>
        </is>
      </c>
      <c r="F35" s="9" t="n">
        <v>120</v>
      </c>
      <c r="G35" s="9" t="n">
        <v>8600</v>
      </c>
      <c r="H35" s="11" t="n"/>
      <c r="I35" s="8" t="inlineStr">
        <is>
          <t>2창고</t>
        </is>
      </c>
      <c r="J35" s="8" t="inlineStr">
        <is>
          <t>최민재</t>
        </is>
      </c>
      <c r="AB35">
        <f>F35*G35</f>
        <v/>
      </c>
    </row>
    <row r="36">
      <c r="A36" s="6" t="n">
        <v>46103</v>
      </c>
      <c r="B36" s="7" t="inlineStr">
        <is>
          <t>IN-2617</t>
        </is>
      </c>
      <c r="C36" s="8" t="inlineStr">
        <is>
          <t>BR-01</t>
        </is>
      </c>
      <c r="D36" s="7" t="inlineStr">
        <is>
          <t>베어링 6204</t>
        </is>
      </c>
      <c r="E36" s="8" t="inlineStr">
        <is>
          <t>입고</t>
        </is>
      </c>
      <c r="F36" s="9" t="n">
        <v>25</v>
      </c>
      <c r="G36" s="9" t="n">
        <v>3200</v>
      </c>
      <c r="H36" s="11" t="n"/>
      <c r="I36" s="8" t="inlineStr">
        <is>
          <t>3창고</t>
        </is>
      </c>
      <c r="J36" s="8" t="inlineStr">
        <is>
          <t>김현수</t>
        </is>
      </c>
      <c r="AB36">
        <f>F36*G36</f>
        <v/>
      </c>
    </row>
    <row r="37">
      <c r="A37" s="6" t="n">
        <v>46103</v>
      </c>
      <c r="B37" s="7" t="inlineStr">
        <is>
          <t>OT-2617</t>
        </is>
      </c>
      <c r="C37" s="8" t="inlineStr">
        <is>
          <t>SM-45</t>
        </is>
      </c>
      <c r="D37" s="7" t="inlineStr">
        <is>
          <t>SM45C 환봉</t>
        </is>
      </c>
      <c r="E37" s="8" t="inlineStr">
        <is>
          <t>출고</t>
        </is>
      </c>
      <c r="F37" s="9" t="n">
        <v>95</v>
      </c>
      <c r="G37" s="9" t="n">
        <v>18500</v>
      </c>
      <c r="H37" s="11" t="n"/>
      <c r="I37" s="8" t="inlineStr">
        <is>
          <t>1창고</t>
        </is>
      </c>
      <c r="J37" s="8" t="inlineStr">
        <is>
          <t>박지훈</t>
        </is>
      </c>
      <c r="AB37">
        <f>F37*G37</f>
        <v/>
      </c>
    </row>
    <row r="38">
      <c r="A38" s="6" t="n">
        <v>46104</v>
      </c>
      <c r="B38" s="7" t="inlineStr">
        <is>
          <t>IN-2618</t>
        </is>
      </c>
      <c r="C38" s="8" t="inlineStr">
        <is>
          <t>HS-12</t>
        </is>
      </c>
      <c r="D38" s="7" t="inlineStr">
        <is>
          <t>유압호스 1/2</t>
        </is>
      </c>
      <c r="E38" s="8" t="inlineStr">
        <is>
          <t>입고</t>
        </is>
      </c>
      <c r="F38" s="9" t="n">
        <v>120</v>
      </c>
      <c r="G38" s="9" t="n">
        <v>7400</v>
      </c>
      <c r="H38" s="11" t="n"/>
      <c r="I38" s="8" t="inlineStr">
        <is>
          <t>2창고</t>
        </is>
      </c>
      <c r="J38" s="8" t="inlineStr">
        <is>
          <t>이서연</t>
        </is>
      </c>
      <c r="AB38">
        <f>F38*G38</f>
        <v/>
      </c>
    </row>
    <row r="39">
      <c r="A39" s="6" t="n">
        <v>46104</v>
      </c>
      <c r="B39" s="7" t="inlineStr">
        <is>
          <t>OT-2618</t>
        </is>
      </c>
      <c r="C39" s="8" t="inlineStr">
        <is>
          <t>LG-30</t>
        </is>
      </c>
      <c r="D39" s="7" t="inlineStr">
        <is>
          <t>리니어 가이드</t>
        </is>
      </c>
      <c r="E39" s="8" t="inlineStr">
        <is>
          <t>출고</t>
        </is>
      </c>
      <c r="F39" s="9" t="n">
        <v>18</v>
      </c>
      <c r="G39" s="9" t="n">
        <v>96000</v>
      </c>
      <c r="H39" s="11" t="n"/>
      <c r="I39" s="8" t="inlineStr">
        <is>
          <t>3창고</t>
        </is>
      </c>
      <c r="J39" s="8" t="inlineStr">
        <is>
          <t>최민재</t>
        </is>
      </c>
      <c r="AB39">
        <f>F39*G39</f>
        <v/>
      </c>
    </row>
    <row r="40">
      <c r="A40" s="6" t="n">
        <v>46105</v>
      </c>
      <c r="B40" s="7" t="inlineStr">
        <is>
          <t>IN-2619</t>
        </is>
      </c>
      <c r="C40" s="8" t="inlineStr">
        <is>
          <t>VB-08</t>
        </is>
      </c>
      <c r="D40" s="7" t="inlineStr">
        <is>
          <t>밸브블록</t>
        </is>
      </c>
      <c r="E40" s="8" t="inlineStr">
        <is>
          <t>입고</t>
        </is>
      </c>
      <c r="F40" s="9" t="n">
        <v>75</v>
      </c>
      <c r="G40" s="9" t="n">
        <v>33000</v>
      </c>
      <c r="H40" s="11" t="n"/>
      <c r="I40" s="8" t="inlineStr">
        <is>
          <t>1창고</t>
        </is>
      </c>
      <c r="J40" s="8" t="inlineStr">
        <is>
          <t>김현수</t>
        </is>
      </c>
      <c r="AB40">
        <f>F40*G40</f>
        <v/>
      </c>
    </row>
    <row r="41">
      <c r="A41" s="6" t="n">
        <v>46105</v>
      </c>
      <c r="B41" s="7" t="inlineStr">
        <is>
          <t>OT-2619</t>
        </is>
      </c>
      <c r="C41" s="8" t="inlineStr">
        <is>
          <t>GR-02</t>
        </is>
      </c>
      <c r="D41" s="7" t="inlineStr">
        <is>
          <t>감속기어</t>
        </is>
      </c>
      <c r="E41" s="8" t="inlineStr">
        <is>
          <t>출고</t>
        </is>
      </c>
      <c r="F41" s="9" t="n">
        <v>30</v>
      </c>
      <c r="G41" s="9" t="n">
        <v>45000</v>
      </c>
      <c r="H41" s="11" t="n"/>
      <c r="I41" s="8" t="inlineStr">
        <is>
          <t>2창고</t>
        </is>
      </c>
      <c r="J41" s="8" t="inlineStr">
        <is>
          <t>박지훈</t>
        </is>
      </c>
      <c r="AB41">
        <f>F41*G41</f>
        <v/>
      </c>
    </row>
    <row r="42">
      <c r="A42" s="6" t="n">
        <v>46106</v>
      </c>
      <c r="B42" s="7" t="inlineStr">
        <is>
          <t>IN-2620</t>
        </is>
      </c>
      <c r="C42" s="8" t="inlineStr">
        <is>
          <t>SH-03</t>
        </is>
      </c>
      <c r="D42" s="7" t="inlineStr">
        <is>
          <t>구동축</t>
        </is>
      </c>
      <c r="E42" s="8" t="inlineStr">
        <is>
          <t>입고</t>
        </is>
      </c>
      <c r="F42" s="9" t="n">
        <v>40</v>
      </c>
      <c r="G42" s="9" t="n">
        <v>78000</v>
      </c>
      <c r="H42" s="11" t="n"/>
      <c r="I42" s="8" t="inlineStr">
        <is>
          <t>3창고</t>
        </is>
      </c>
      <c r="J42" s="8" t="inlineStr">
        <is>
          <t>이서연</t>
        </is>
      </c>
      <c r="AB42">
        <f>F42*G42</f>
        <v/>
      </c>
    </row>
    <row r="43">
      <c r="A43" s="6" t="n">
        <v>46106</v>
      </c>
      <c r="B43" s="7" t="inlineStr">
        <is>
          <t>OT-2620</t>
        </is>
      </c>
      <c r="C43" s="8" t="inlineStr">
        <is>
          <t>BT-05</t>
        </is>
      </c>
      <c r="D43" s="7" t="inlineStr">
        <is>
          <t>타이밍벨트</t>
        </is>
      </c>
      <c r="E43" s="8" t="inlineStr">
        <is>
          <t>출고</t>
        </is>
      </c>
      <c r="F43" s="9" t="n">
        <v>120</v>
      </c>
      <c r="G43" s="9" t="n">
        <v>8600</v>
      </c>
      <c r="H43" s="11" t="n"/>
      <c r="I43" s="8" t="inlineStr">
        <is>
          <t>1창고</t>
        </is>
      </c>
      <c r="J43" s="8" t="inlineStr">
        <is>
          <t>최민재</t>
        </is>
      </c>
      <c r="AB43">
        <f>F43*G43</f>
        <v/>
      </c>
    </row>
    <row r="45">
      <c r="A45" s="12" t="inlineStr">
        <is>
          <t>금액 채점 →</t>
        </is>
      </c>
      <c r="H45" s="13">
        <f>SUMPRODUCT(--($H$4:$H$43=$AB$4:$AB$43))&amp;" / 40"</f>
        <v/>
      </c>
    </row>
    <row r="46" ht="30" customHeight="1">
      <c r="A46" s="14" t="inlineStr">
        <is>
          <t>H4 에 =F4*G4 를 만들고 H43 까지 끌어 내리면 40 / 40 이 됩니다.</t>
        </is>
      </c>
    </row>
    <row r="48" ht="26" customHeight="1">
      <c r="A48" s="15" t="inlineStr">
        <is>
          <t>■ 계산 문제 6개</t>
        </is>
      </c>
    </row>
    <row r="49" ht="26" customHeight="1">
      <c r="A49" s="5" t="inlineStr">
        <is>
          <t>번호 ▶ 넣을 칸</t>
        </is>
      </c>
      <c r="B49" s="5" t="inlineStr">
        <is>
          <t>문제 — 무엇을 구하나</t>
        </is>
      </c>
      <c r="C49" s="16" t="n"/>
      <c r="D49" s="16" t="n"/>
      <c r="E49" s="17" t="n"/>
      <c r="F49" s="5" t="inlineStr">
        <is>
          <t>답</t>
        </is>
      </c>
      <c r="G49" s="5" t="inlineStr">
        <is>
          <t>채점</t>
        </is>
      </c>
      <c r="H49" s="5" t="inlineStr">
        <is>
          <t>힌트</t>
        </is>
      </c>
      <c r="I49" s="16" t="n"/>
      <c r="J49" s="17" t="n"/>
    </row>
    <row r="50" ht="21" customHeight="1">
      <c r="A50" s="18" t="inlineStr">
        <is>
          <t xml:space="preserve">  표를 읽는 연습 — 아래 ▶ 표시된 칸(F열)에 수식을 넣으세요</t>
        </is>
      </c>
    </row>
    <row r="51" ht="26" customHeight="1">
      <c r="A51" s="19" t="inlineStr">
        <is>
          <t>1  ▶F51</t>
        </is>
      </c>
      <c r="B51" s="20" t="inlineStr">
        <is>
          <t>입고(E열이 "입고")인 자재의 수량[F4:F43] 합계.</t>
        </is>
      </c>
      <c r="C51" s="21" t="n"/>
      <c r="D51" s="21" t="n"/>
      <c r="E51" s="21" t="n"/>
      <c r="F51" s="22" t="n">
        <v>0</v>
      </c>
      <c r="G51" s="23">
        <f>IF(NOT(_xlfn.ISFORMULA(F51)),"↖ 0 지우고 수식",IF(IFERROR(ROUND(F51,4)=ROUND(AB51,4),F51=AB51),"✔ 맞음","✘ 다시"))</f>
        <v/>
      </c>
      <c r="H51" s="24" t="inlineStr">
        <is>
          <t>SUMIF(조건범위, "입고", 더할범위)</t>
        </is>
      </c>
      <c r="I51" s="21" t="n"/>
      <c r="J51" s="21" t="n"/>
      <c r="AB51">
        <f>SUMIF($E$4:$E$43,"입고",$F$4:$F$43)</f>
        <v/>
      </c>
    </row>
    <row r="52" ht="26" customHeight="1">
      <c r="A52" s="19" t="inlineStr">
        <is>
          <t>2  ▶F52</t>
        </is>
      </c>
      <c r="B52" s="20" t="inlineStr">
        <is>
          <t>출고 건수.</t>
        </is>
      </c>
      <c r="C52" s="21" t="n"/>
      <c r="D52" s="21" t="n"/>
      <c r="E52" s="21" t="n"/>
      <c r="F52" s="22" t="n">
        <v>0</v>
      </c>
      <c r="G52" s="23">
        <f>IF(NOT(_xlfn.ISFORMULA(F52)),"↖ 0 지우고 수식",IF(IFERROR(ROUND(F52,4)=ROUND(AB52,4),F52=AB52),"✔ 맞음","✘ 다시"))</f>
        <v/>
      </c>
      <c r="H52" s="24" t="inlineStr">
        <is>
          <t>COUNTIF(범위, "출고")</t>
        </is>
      </c>
      <c r="I52" s="21" t="n"/>
      <c r="J52" s="21" t="n"/>
      <c r="AB52">
        <f>COUNTIF(E4:E43,"출고")</f>
        <v/>
      </c>
    </row>
    <row r="53" ht="26" customHeight="1">
      <c r="A53" s="19" t="inlineStr">
        <is>
          <t>3  ▶F53</t>
        </is>
      </c>
      <c r="B53" s="20" t="inlineStr">
        <is>
          <t>1창고에서 오간 수량의 합계.</t>
        </is>
      </c>
      <c r="C53" s="21" t="n"/>
      <c r="D53" s="21" t="n"/>
      <c r="E53" s="21" t="n"/>
      <c r="F53" s="22" t="n">
        <v>0</v>
      </c>
      <c r="G53" s="23">
        <f>IF(NOT(_xlfn.ISFORMULA(F53)),"↖ 0 지우고 수식",IF(IFERROR(ROUND(F53,4)=ROUND(AB53,4),F53=AB53),"✔ 맞음","✘ 다시"))</f>
        <v/>
      </c>
      <c r="H53" s="24" t="inlineStr">
        <is>
          <t>SUMIF · 창고는 I열</t>
        </is>
      </c>
      <c r="I53" s="21" t="n"/>
      <c r="J53" s="21" t="n"/>
      <c r="AB53">
        <f>SUMIF($I$4:$I$43,"1창고",$F$4:$F$43)</f>
        <v/>
      </c>
    </row>
    <row r="54" ht="26" customHeight="1">
      <c r="A54" s="19" t="inlineStr">
        <is>
          <t>4  ▶F54</t>
        </is>
      </c>
      <c r="B54" s="20" t="inlineStr">
        <is>
          <t>단가[G4:G43] 가 가장 비싼 자재의 단가.</t>
        </is>
      </c>
      <c r="C54" s="21" t="n"/>
      <c r="D54" s="21" t="n"/>
      <c r="E54" s="21" t="n"/>
      <c r="F54" s="10" t="n">
        <v>0</v>
      </c>
      <c r="G54" s="23">
        <f>IF(NOT(_xlfn.ISFORMULA(F54)),"↖ 0 지우고 수식",IF(IFERROR(ROUND(F54,4)=ROUND(AB54,4),F54=AB54),"✔ 맞음","✘ 다시"))</f>
        <v/>
      </c>
      <c r="H54" s="24" t="inlineStr">
        <is>
          <t>MAX</t>
        </is>
      </c>
      <c r="I54" s="21" t="n"/>
      <c r="J54" s="21" t="n"/>
      <c r="AB54">
        <f>MAX(G4:G43)</f>
        <v/>
      </c>
    </row>
    <row r="55" ht="26" customHeight="1">
      <c r="A55" s="19" t="inlineStr">
        <is>
          <t>5  ▶F55</t>
        </is>
      </c>
      <c r="B55" s="20" t="inlineStr">
        <is>
          <t>담당자가 "김현수" 인 건수.</t>
        </is>
      </c>
      <c r="C55" s="21" t="n"/>
      <c r="D55" s="21" t="n"/>
      <c r="E55" s="21" t="n"/>
      <c r="F55" s="22" t="n">
        <v>0</v>
      </c>
      <c r="G55" s="23">
        <f>IF(NOT(_xlfn.ISFORMULA(F55)),"↖ 0 지우고 수식",IF(IFERROR(ROUND(F55,4)=ROUND(AB55,4),F55=AB55),"✔ 맞음","✘ 다시"))</f>
        <v/>
      </c>
      <c r="H55" s="24" t="inlineStr">
        <is>
          <t>COUNTIF · 담당자는 J열</t>
        </is>
      </c>
      <c r="I55" s="21" t="n"/>
      <c r="J55" s="21" t="n"/>
      <c r="AB55">
        <f>COUNTIF(J4:J43,"김현수")</f>
        <v/>
      </c>
    </row>
    <row r="56" ht="26" customHeight="1">
      <c r="A56" s="19" t="inlineStr">
        <is>
          <t>6  ▶F56</t>
        </is>
      </c>
      <c r="B56" s="20" t="inlineStr">
        <is>
          <t>전표번호[B4] 의 앞 2글자. (IN / OT 로 입출고 구분)</t>
        </is>
      </c>
      <c r="C56" s="21" t="n"/>
      <c r="D56" s="21" t="n"/>
      <c r="E56" s="21" t="n"/>
      <c r="F56" s="22" t="n">
        <v>0</v>
      </c>
      <c r="G56" s="23">
        <f>IF(NOT(_xlfn.ISFORMULA(F56)),"↖ 0 지우고 수식",IF(IFERROR(ROUND(F56,4)=ROUND(AB56,4),F56=AB56),"✔ 맞음","✘ 다시"))</f>
        <v/>
      </c>
      <c r="H56" s="24" t="inlineStr">
        <is>
          <t>LEFT</t>
        </is>
      </c>
      <c r="I56" s="21" t="n"/>
      <c r="J56" s="21" t="n"/>
      <c r="AB56">
        <f>LEFT(B4,2)</f>
        <v/>
      </c>
    </row>
  </sheetData>
  <mergeCells count="17">
    <mergeCell ref="H49:J49"/>
    <mergeCell ref="A46:J46"/>
    <mergeCell ref="H51:J51"/>
    <mergeCell ref="H54:J54"/>
    <mergeCell ref="B49:E49"/>
    <mergeCell ref="B53:E53"/>
    <mergeCell ref="B56:E56"/>
    <mergeCell ref="B52:E52"/>
    <mergeCell ref="H52:J52"/>
    <mergeCell ref="B54:E54"/>
    <mergeCell ref="H55:J55"/>
    <mergeCell ref="A50:J50"/>
    <mergeCell ref="B55:E55"/>
    <mergeCell ref="A48:J48"/>
    <mergeCell ref="B51:E51"/>
    <mergeCell ref="H56:J56"/>
    <mergeCell ref="H53:J53"/>
  </mergeCells>
  <conditionalFormatting sqref="H45">
    <cfRule type="expression" priority="1" dxfId="0">
      <formula>ISNUMBER(SEARCH("맞",H45))</formula>
    </cfRule>
    <cfRule type="expression" priority="2" dxfId="1">
      <formula>ISNUMBER(SEARCH("다시",H45))</formula>
    </cfRule>
  </conditionalFormatting>
  <conditionalFormatting sqref="G50:G56">
    <cfRule type="expression" priority="3" dxfId="0">
      <formula>ISNUMBER(SEARCH("맞",G50))</formula>
    </cfRule>
    <cfRule type="expression" priority="4" dxfId="1">
      <formula>ISNUMBER(SEARCH("다시",G50))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" customWidth="1" min="5" max="5"/>
    <col width="66" customWidth="1" min="6" max="6"/>
  </cols>
  <sheetData>
    <row r="1" ht="26" customHeight="1">
      <c r="A1" s="15" t="inlineStr">
        <is>
          <t>고급 필터 연습 — 조건 범위를 여기에 만드세요</t>
        </is>
      </c>
    </row>
    <row r="2" ht="30" customHeight="1">
      <c r="A2" s="14" t="inlineStr">
        <is>
          <t>머리글은 '자재입출고' 시트 3행의 머리글과 글자·띄어쓰기까지 똑같아야 합니다. 노란 칸에 직접 써 넣으세요.</t>
        </is>
      </c>
    </row>
    <row r="4" ht="26" customHeight="1">
      <c r="A4" s="25" t="inlineStr">
        <is>
          <t>조건 ① 출고이면서 수량이 30 이상</t>
        </is>
      </c>
    </row>
    <row r="5">
      <c r="A5" s="26" t="n"/>
      <c r="B5" s="26" t="n"/>
      <c r="F5" s="27" t="inlineStr">
        <is>
          <t>→ 머리글 두 칸(구분·수량)을 5행에, 조건을 6행 같은 줄에 나란히 → 그리고(AND)</t>
        </is>
      </c>
    </row>
    <row r="6">
      <c r="A6" s="26" t="n"/>
      <c r="B6" s="26" t="n"/>
    </row>
    <row r="8" ht="26" customHeight="1">
      <c r="A8" s="25" t="inlineStr">
        <is>
          <t>조건 ② 1창고 이거나 3창고</t>
        </is>
      </c>
    </row>
    <row r="9">
      <c r="A9" s="26" t="n"/>
      <c r="F9" s="27" t="inlineStr">
        <is>
          <t>→ 머리글 한 칸(창고), 조건을 9행·10행 서로 다른 줄에 → 또는(OR)</t>
        </is>
      </c>
    </row>
    <row r="10">
      <c r="A10" s="26" t="n"/>
    </row>
    <row r="11">
      <c r="A11" s="26" t="n"/>
    </row>
    <row r="13" ht="26" customHeight="1">
      <c r="A13" s="25" t="inlineStr">
        <is>
          <t>조건 ③ 자재코드가 S 로 시작</t>
        </is>
      </c>
    </row>
    <row r="14">
      <c r="A14" s="26" t="n"/>
      <c r="F14" s="27" t="inlineStr">
        <is>
          <t>→ 조건 칸에  S*  라고 씁니다. * 는 '뒤에 뭐가 오든', ? 는 글자 하나</t>
        </is>
      </c>
    </row>
    <row r="15">
      <c r="A15" s="26" t="n"/>
    </row>
    <row r="17" ht="26" customHeight="1">
      <c r="A17" s="25" t="inlineStr">
        <is>
          <t>조건 ④ 담당자가 이서연이면서 입고</t>
        </is>
      </c>
    </row>
    <row r="18">
      <c r="A18" s="26" t="n"/>
      <c r="B18" s="26" t="n"/>
      <c r="F18" s="27" t="inlineStr">
        <is>
          <t>→ 머리글은 담당자·구분. 두 조건을 같은 줄에</t>
        </is>
      </c>
    </row>
    <row r="19">
      <c r="A19" s="26" t="n"/>
      <c r="B19" s="26" t="n"/>
    </row>
    <row r="22" ht="26" customHeight="1">
      <c r="A22" s="25" t="inlineStr">
        <is>
          <t>결과를 붙일 자리 (A25 부터)</t>
        </is>
      </c>
    </row>
    <row r="23" ht="30" customHeight="1">
      <c r="A23" s="14" t="inlineStr">
        <is>
          <t>데이터 → 고급 → '다른 장소에 복사' → 목록 범위 / 조건 범위 / 복사 위치 를 차례로 지정합니다.</t>
        </is>
      </c>
    </row>
  </sheetData>
  <mergeCells count="8">
    <mergeCell ref="A2:F2"/>
    <mergeCell ref="A13:F13"/>
    <mergeCell ref="A1:F1"/>
    <mergeCell ref="A23:F23"/>
    <mergeCell ref="A8:F8"/>
    <mergeCell ref="A22:F22"/>
    <mergeCell ref="A17:F17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4" max="4"/>
  </cols>
  <sheetData>
    <row r="1" ht="26" customHeight="1">
      <c r="A1" s="15" t="inlineStr">
        <is>
          <t>데이터 유효성 검사용 목록</t>
        </is>
      </c>
    </row>
    <row r="3" ht="24" customHeight="1">
      <c r="A3" s="5" t="inlineStr">
        <is>
          <t>구분</t>
        </is>
      </c>
      <c r="B3" s="5" t="inlineStr">
        <is>
          <t>창고</t>
        </is>
      </c>
      <c r="C3" s="5" t="inlineStr">
        <is>
          <t>담당자</t>
        </is>
      </c>
    </row>
    <row r="4">
      <c r="A4" s="8" t="inlineStr">
        <is>
          <t>입고</t>
        </is>
      </c>
      <c r="B4" s="8" t="inlineStr">
        <is>
          <t>1창고</t>
        </is>
      </c>
      <c r="C4" s="8" t="inlineStr">
        <is>
          <t>김현수</t>
        </is>
      </c>
    </row>
    <row r="5">
      <c r="A5" s="8" t="inlineStr">
        <is>
          <t>출고</t>
        </is>
      </c>
      <c r="B5" s="8" t="inlineStr">
        <is>
          <t>2창고</t>
        </is>
      </c>
      <c r="C5" s="8" t="inlineStr">
        <is>
          <t>박지훈</t>
        </is>
      </c>
    </row>
    <row r="6">
      <c r="A6" s="8" t="n"/>
      <c r="B6" s="8" t="inlineStr">
        <is>
          <t>3창고</t>
        </is>
      </c>
      <c r="C6" s="8" t="inlineStr">
        <is>
          <t>이서연</t>
        </is>
      </c>
    </row>
    <row r="7">
      <c r="A7" s="8" t="n"/>
      <c r="B7" s="8" t="n"/>
      <c r="C7" s="8" t="inlineStr">
        <is>
          <t>최민재</t>
        </is>
      </c>
    </row>
    <row r="9">
      <c r="A9" s="28" t="inlineStr">
        <is>
          <t>쓰는 법</t>
        </is>
      </c>
    </row>
    <row r="10">
      <c r="A10" s="29" t="inlineStr">
        <is>
          <t>데이터 → 데이터 유효성 검사 → 제한 대상 '목록' → 원본에 =목록!$A$4:$A$5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7" customWidth="1" min="3" max="3"/>
    <col width="42" customWidth="1" min="4" max="4"/>
  </cols>
  <sheetData>
    <row r="1" ht="26" customHeight="1">
      <c r="A1" s="15" t="inlineStr">
        <is>
          <t>2급 ② 기본작업 미션 14가지</t>
        </is>
      </c>
    </row>
    <row r="2" ht="30" customHeight="1">
      <c r="A2" s="14" t="inlineStr">
        <is>
          <t>다 한 미션은 □ 칸에 v 를 쳐 두세요. 어떻게 하는지는 [따라하기] 시트에 단계별로 있습니다.</t>
        </is>
      </c>
    </row>
    <row r="4" ht="24" customHeight="1">
      <c r="A4" s="5" t="inlineStr">
        <is>
          <t>번호</t>
        </is>
      </c>
      <c r="B4" s="5" t="inlineStr">
        <is>
          <t>미션 — 무엇을 하는가</t>
        </is>
      </c>
      <c r="C4" s="5" t="inlineStr">
        <is>
          <t>다 함</t>
        </is>
      </c>
      <c r="D4" s="5" t="inlineStr">
        <is>
          <t>어디서 (메뉴)</t>
        </is>
      </c>
    </row>
    <row r="5" ht="30" customHeight="1">
      <c r="A5" s="8" t="n">
        <v>1</v>
      </c>
      <c r="B5" s="30" t="inlineStr">
        <is>
          <t>[자재입출고 H4] 금액을 =F4*G4 로 만들고 H43 까지 채우기. 천 단위 쉼표.</t>
        </is>
      </c>
      <c r="C5" s="31" t="inlineStr">
        <is>
          <t>□</t>
        </is>
      </c>
      <c r="D5" s="24" t="inlineStr">
        <is>
          <t>홈 → 쉼표 스타일</t>
        </is>
      </c>
    </row>
    <row r="6" ht="30" customHeight="1">
      <c r="A6" s="8" t="n">
        <v>2</v>
      </c>
      <c r="B6" s="30" t="inlineStr">
        <is>
          <t>[자재입출고 1~2행] 제목 '3월 자재 입출고 대장' 만들기. A1:J2 병합·가운데·16pt 굵게.</t>
        </is>
      </c>
      <c r="C6" s="31" t="inlineStr">
        <is>
          <t>□</t>
        </is>
      </c>
      <c r="D6" s="24" t="inlineStr">
        <is>
          <t>홈 → 병합하고 가운데 맞춤</t>
        </is>
      </c>
    </row>
    <row r="7" ht="30" customHeight="1">
      <c r="A7" s="8" t="n">
        <v>3</v>
      </c>
      <c r="B7" s="30" t="inlineStr">
        <is>
          <t>[자재입출고 B열] 전표번호 뒤에 '호' 가 붙어 보이게. 값은 그대로.</t>
        </is>
      </c>
      <c r="C7" s="31" t="inlineStr">
        <is>
          <t>□</t>
        </is>
      </c>
      <c r="D7" s="24" t="inlineStr">
        <is>
          <t>Ctrl+1 → 사용자 지정</t>
        </is>
      </c>
    </row>
    <row r="8" ht="30" customHeight="1">
      <c r="A8" s="8" t="n">
        <v>4</v>
      </c>
      <c r="B8" s="30" t="inlineStr">
        <is>
          <t>[자재입출고 F열] 수량 뒤에 'EA' 가 붙어 보이게.</t>
        </is>
      </c>
      <c r="C8" s="31" t="inlineStr">
        <is>
          <t>□</t>
        </is>
      </c>
      <c r="D8" s="24" t="inlineStr">
        <is>
          <t>Ctrl+1 → 사용자 지정</t>
        </is>
      </c>
    </row>
    <row r="9" ht="30" customHeight="1">
      <c r="A9" s="8" t="n">
        <v>5</v>
      </c>
      <c r="B9" s="30" t="inlineStr">
        <is>
          <t>[자재입출고 A열] 날짜를 03-02(월) 처럼 요일까지 보이게.</t>
        </is>
      </c>
      <c r="C9" s="31" t="inlineStr">
        <is>
          <t>□</t>
        </is>
      </c>
      <c r="D9" s="24" t="inlineStr">
        <is>
          <t>Ctrl+1 → 사용자 지정</t>
        </is>
      </c>
    </row>
    <row r="10" ht="30" customHeight="1">
      <c r="A10" s="8" t="n">
        <v>6</v>
      </c>
      <c r="B10" s="30" t="inlineStr">
        <is>
          <t>[자재입출고] 수량이 100 이상인 행 전체를 연한 파랑으로.</t>
        </is>
      </c>
      <c r="C10" s="31" t="inlineStr">
        <is>
          <t>□</t>
        </is>
      </c>
      <c r="D10" s="24" t="inlineStr">
        <is>
          <t>조건부 서식 → 수식 사용</t>
        </is>
      </c>
    </row>
    <row r="11" ht="30" customHeight="1">
      <c r="A11" s="8" t="n">
        <v>7</v>
      </c>
      <c r="B11" s="30" t="inlineStr">
        <is>
          <t>[자재입출고] '출고' 인 행의 글자를 빨강 굵게.</t>
        </is>
      </c>
      <c r="C11" s="31" t="inlineStr">
        <is>
          <t>□</t>
        </is>
      </c>
      <c r="D11" s="24" t="inlineStr">
        <is>
          <t>조건부 서식 → 수식 사용</t>
        </is>
      </c>
    </row>
    <row r="12" ht="30" customHeight="1">
      <c r="A12" s="8" t="n">
        <v>8</v>
      </c>
      <c r="B12" s="30" t="inlineStr">
        <is>
          <t>[자재입출고 H열] 금액 상위 5개 칸에 색 채우기.</t>
        </is>
      </c>
      <c r="C12" s="31" t="inlineStr">
        <is>
          <t>□</t>
        </is>
      </c>
      <c r="D12" s="24" t="inlineStr">
        <is>
          <t>조건부 서식 → 상위/하위 규칙</t>
        </is>
      </c>
    </row>
    <row r="13" ht="30" customHeight="1">
      <c r="A13" s="8" t="n">
        <v>9</v>
      </c>
      <c r="B13" s="30" t="inlineStr">
        <is>
          <t>[자재입출고 G열] 단가에 데이터 막대 넣기.</t>
        </is>
      </c>
      <c r="C13" s="31" t="inlineStr">
        <is>
          <t>□</t>
        </is>
      </c>
      <c r="D13" s="24" t="inlineStr">
        <is>
          <t>조건부 서식 → 데이터 막대</t>
        </is>
      </c>
    </row>
    <row r="14" ht="30" customHeight="1">
      <c r="A14" s="8" t="n">
        <v>10</v>
      </c>
      <c r="B14" s="30" t="inlineStr">
        <is>
          <t>[고급필터] 조건 ①②③④ 를 만들기.</t>
        </is>
      </c>
      <c r="C14" s="31" t="inlineStr">
        <is>
          <t>□</t>
        </is>
      </c>
      <c r="D14" s="24" t="inlineStr">
        <is>
          <t>머리글을 원본과 똑같이</t>
        </is>
      </c>
    </row>
    <row r="15" ht="30" customHeight="1">
      <c r="A15" s="8" t="n">
        <v>11</v>
      </c>
      <c r="B15" s="30" t="inlineStr">
        <is>
          <t>[고급필터] 조건 ① 의 결과를 A25 부터 뽑아내기.</t>
        </is>
      </c>
      <c r="C15" s="31" t="inlineStr">
        <is>
          <t>□</t>
        </is>
      </c>
      <c r="D15" s="24" t="inlineStr">
        <is>
          <t>데이터 → 고급 → 다른 장소에 복사</t>
        </is>
      </c>
    </row>
    <row r="16" ht="30" customHeight="1">
      <c r="A16" s="8" t="n">
        <v>12</v>
      </c>
      <c r="B16" s="30" t="inlineStr">
        <is>
          <t>[자재입출고 E열] '입고/출고' 만 고를 수 있게 하기.</t>
        </is>
      </c>
      <c r="C16" s="31" t="inlineStr">
        <is>
          <t>□</t>
        </is>
      </c>
      <c r="D16" s="24" t="inlineStr">
        <is>
          <t>데이터 → 데이터 유효성 검사</t>
        </is>
      </c>
    </row>
    <row r="17" ht="30" customHeight="1">
      <c r="A17" s="8" t="n">
        <v>13</v>
      </c>
      <c r="B17" s="30" t="inlineStr">
        <is>
          <t>[자재입출고] 머리글 줄이 늘 보이게 틀 고정.</t>
        </is>
      </c>
      <c r="C17" s="31" t="inlineStr">
        <is>
          <t>□</t>
        </is>
      </c>
      <c r="D17" s="24" t="inlineStr">
        <is>
          <t>보기 → 틀 고정</t>
        </is>
      </c>
    </row>
    <row r="18" ht="30" customHeight="1">
      <c r="A18" s="8" t="n">
        <v>14</v>
      </c>
      <c r="B18" s="30" t="inlineStr">
        <is>
          <t>[자재입출고 F4:F43] 범위에 '수량' 이라는 이름 붙이고 아무 빈 칸에서 =SUM(수량) 써 보기.</t>
        </is>
      </c>
      <c r="C18" s="31" t="inlineStr">
        <is>
          <t>□</t>
        </is>
      </c>
      <c r="D18" s="24" t="inlineStr">
        <is>
          <t>수식 → 이름 정의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15" t="inlineStr">
        <is>
          <t>2급 ② 기본작업 — 단계별로 따라 하기</t>
        </is>
      </c>
    </row>
    <row r="2" ht="30" customHeight="1">
      <c r="A2" s="14" t="inlineStr">
        <is>
          <t>미션 14가지를 순서대로 풀어 쓴 것입니다. 한 미션씩 따라 하고 [미션] 시트의 □ 에 v 를 치세요.</t>
        </is>
      </c>
    </row>
    <row r="4" ht="24" customHeight="1">
      <c r="A4" s="32" t="inlineStr">
        <is>
          <t xml:space="preserve">  미션 1 · 금액 채우고 쉼표 붙이기</t>
        </is>
      </c>
    </row>
    <row r="5" ht="20" customHeight="1">
      <c r="A5" s="33" t="inlineStr">
        <is>
          <t>어디서</t>
        </is>
      </c>
      <c r="B5" s="34" t="inlineStr">
        <is>
          <t>[자재입출고] H4 → H43</t>
        </is>
      </c>
    </row>
    <row r="6" ht="28" customHeight="1">
      <c r="A6" s="35" t="inlineStr">
        <is>
          <t>1단계</t>
        </is>
      </c>
      <c r="B6" s="20" t="inlineStr">
        <is>
          <t>H4 의 0 을 지우고  =F4*G4  를 입력하고 Enter.</t>
        </is>
      </c>
      <c r="C6" s="24" t="inlineStr">
        <is>
          <t>수량 × 단가</t>
        </is>
      </c>
    </row>
    <row r="7" ht="28" customHeight="1">
      <c r="A7" s="35" t="inlineStr">
        <is>
          <t>2단계</t>
        </is>
      </c>
      <c r="B7" s="20" t="inlineStr">
        <is>
          <t>H4 를 다시 클릭하고 오른쪽 아래 작은 네모를 두 번 클릭.</t>
        </is>
      </c>
      <c r="C7" s="24" t="inlineStr">
        <is>
          <t>자료가 있는 데까지 한 번에 채워집니다</t>
        </is>
      </c>
    </row>
    <row r="8" ht="28" customHeight="1">
      <c r="A8" s="35" t="inlineStr">
        <is>
          <t>3단계</t>
        </is>
      </c>
      <c r="B8" s="20" t="inlineStr">
        <is>
          <t>H4:H43 를 잡고 홈 탭의 쉼표 스타일(,) 을 누릅니다.</t>
        </is>
      </c>
      <c r="C8" s="24" t="inlineStr">
        <is>
          <t>또는 Ctrl+1 → 숫자 → 1000 단위 구분 기호</t>
        </is>
      </c>
    </row>
    <row r="9" ht="28" customHeight="1">
      <c r="A9" s="35" t="inlineStr">
        <is>
          <t>4단계</t>
        </is>
      </c>
      <c r="B9" s="20" t="inlineStr">
        <is>
          <t>표 아래 [금액 채점] 칸이 40 / 40 인지 봅니다.</t>
        </is>
      </c>
      <c r="C9" s="24" t="inlineStr">
        <is>
          <t>다르면 중간에 빠진 줄이 있는 것입니다</t>
        </is>
      </c>
    </row>
    <row r="10" ht="26" customHeight="1">
      <c r="A10" s="36" t="inlineStr">
        <is>
          <t>확인</t>
        </is>
      </c>
      <c r="B10" s="37" t="inlineStr">
        <is>
          <t>이렇게 되면 성공 — H열이 모두 채워지고 금액 채점이 40 / 40</t>
        </is>
      </c>
    </row>
    <row r="12" ht="24" customHeight="1">
      <c r="A12" s="32" t="inlineStr">
        <is>
          <t xml:space="preserve">  미션 2 · 제목 만들기</t>
        </is>
      </c>
    </row>
    <row r="13" ht="20" customHeight="1">
      <c r="A13" s="33" t="inlineStr">
        <is>
          <t>어디서</t>
        </is>
      </c>
      <c r="B13" s="34" t="inlineStr">
        <is>
          <t>[자재입출고] 1~2행</t>
        </is>
      </c>
    </row>
    <row r="14" ht="28" customHeight="1">
      <c r="A14" s="35" t="inlineStr">
        <is>
          <t>1단계</t>
        </is>
      </c>
      <c r="B14" s="20" t="inlineStr">
        <is>
          <t>3행 머리글 위에 빈 줄이 두 줄 있습니다. A1 을 클릭해 제목을 칩니다.</t>
        </is>
      </c>
      <c r="C14" s="24" t="inlineStr">
        <is>
          <t>3월 자재 입출고 대장</t>
        </is>
      </c>
    </row>
    <row r="15" ht="28" customHeight="1">
      <c r="A15" s="35" t="inlineStr">
        <is>
          <t>2단계</t>
        </is>
      </c>
      <c r="B15" s="20" t="inlineStr">
        <is>
          <t>A1:J2 를 드래그해 잡습니다.</t>
        </is>
      </c>
      <c r="C15" s="24" t="inlineStr">
        <is>
          <t>열 A 부터 J 까지, 행 1~2</t>
        </is>
      </c>
    </row>
    <row r="16" ht="28" customHeight="1">
      <c r="A16" s="35" t="inlineStr">
        <is>
          <t>3단계</t>
        </is>
      </c>
      <c r="B16" s="20" t="inlineStr">
        <is>
          <t>홈 → [병합하고 가운데 맞춤] 을 누릅니다.</t>
        </is>
      </c>
      <c r="C16" s="24" t="inlineStr">
        <is>
          <t>단추 그림은 'a' 가 가운데 모인 모양입니다</t>
        </is>
      </c>
    </row>
    <row r="17" ht="28" customHeight="1">
      <c r="A17" s="35" t="inlineStr">
        <is>
          <t>4단계</t>
        </is>
      </c>
      <c r="B17" s="20" t="inlineStr">
        <is>
          <t>글꼴 크기를 16, 굵게(Ctrl+B) 로 바꿉니다.</t>
        </is>
      </c>
      <c r="C17" s="24" t="inlineStr">
        <is>
          <t>행 높이는 행 머리 경계를 끌어 늘립니다</t>
        </is>
      </c>
    </row>
    <row r="18" ht="26" customHeight="1">
      <c r="A18" s="36" t="inlineStr">
        <is>
          <t>확인</t>
        </is>
      </c>
      <c r="B18" s="37" t="inlineStr">
        <is>
          <t>이렇게 되면 성공 — 표 위에 가운데 정렬된 큰 제목이 한 칸처럼 자리잡습니다</t>
        </is>
      </c>
    </row>
    <row r="20" ht="24" customHeight="1">
      <c r="A20" s="32" t="inlineStr">
        <is>
          <t xml:space="preserve">  미션 3 · 전표번호 뒤에 '호' 붙이기 (표시 형식)</t>
        </is>
      </c>
    </row>
    <row r="21" ht="20" customHeight="1">
      <c r="A21" s="33" t="inlineStr">
        <is>
          <t>어디서</t>
        </is>
      </c>
      <c r="B21" s="34" t="inlineStr">
        <is>
          <t>[자재입출고] B4:B43</t>
        </is>
      </c>
    </row>
    <row r="22" ht="28" customHeight="1">
      <c r="A22" s="35" t="inlineStr">
        <is>
          <t>1단계</t>
        </is>
      </c>
      <c r="B22" s="20" t="inlineStr">
        <is>
          <t>B4:B43 를 잡습니다.</t>
        </is>
      </c>
      <c r="C22" s="24" t="inlineStr">
        <is>
          <t>머리글(B3)은 빼고 잡습니다</t>
        </is>
      </c>
    </row>
    <row r="23" ht="28" customHeight="1">
      <c r="A23" s="35" t="inlineStr">
        <is>
          <t>2단계</t>
        </is>
      </c>
      <c r="B23" s="20" t="inlineStr">
        <is>
          <t>Ctrl+1 (셀 서식) → [표시 형식] 탭 → 맨 아래 [사용자 지정].</t>
        </is>
      </c>
      <c r="C23" s="24" t="inlineStr">
        <is>
          <t>오른쪽 '형식' 칸에 직접 씁니다</t>
        </is>
      </c>
    </row>
    <row r="24" ht="28" customHeight="1">
      <c r="A24" s="35" t="inlineStr">
        <is>
          <t>3단계</t>
        </is>
      </c>
      <c r="B24" s="20" t="inlineStr">
        <is>
          <t>형식 칸에  @"호"  라고 칩니다.</t>
        </is>
      </c>
      <c r="C24" s="24" t="inlineStr">
        <is>
          <t>@ 는 "원래 글자" 라는 뜻입니다</t>
        </is>
      </c>
    </row>
    <row r="25" ht="28" customHeight="1">
      <c r="A25" s="35" t="inlineStr">
        <is>
          <t>4단계</t>
        </is>
      </c>
      <c r="B25" s="20" t="inlineStr">
        <is>
          <t>확인을 누릅니다.</t>
        </is>
      </c>
      <c r="C25" s="24" t="inlineStr">
        <is>
          <t>IN-2601호 처럼 보이지만 값은 IN-2601 그대로입니다</t>
        </is>
      </c>
    </row>
    <row r="26" ht="26" customHeight="1">
      <c r="A26" s="36" t="inlineStr">
        <is>
          <t>확인</t>
        </is>
      </c>
      <c r="B26" s="37" t="inlineStr">
        <is>
          <t>이렇게 되면 성공 — 화면에는 '호' 가 붙어 보이고, 셀을 클릭하면 수식 줄에는 원래 값만 있습니다</t>
        </is>
      </c>
    </row>
    <row r="28" ht="24" customHeight="1">
      <c r="A28" s="32" t="inlineStr">
        <is>
          <t xml:space="preserve">  미션 4 · 수량 뒤에 'EA', 날짜에 요일 붙이기</t>
        </is>
      </c>
    </row>
    <row r="29" ht="20" customHeight="1">
      <c r="A29" s="33" t="inlineStr">
        <is>
          <t>어디서</t>
        </is>
      </c>
      <c r="B29" s="34" t="inlineStr">
        <is>
          <t>[자재입출고] F열 · A열</t>
        </is>
      </c>
    </row>
    <row r="30" ht="28" customHeight="1">
      <c r="A30" s="35" t="inlineStr">
        <is>
          <t>1단계</t>
        </is>
      </c>
      <c r="B30" s="20" t="inlineStr">
        <is>
          <t>F4:F43 를 잡고 Ctrl+1 → 사용자 지정.</t>
        </is>
      </c>
      <c r="C30" s="24" t="inlineStr"/>
    </row>
    <row r="31" ht="28" customHeight="1">
      <c r="A31" s="35" t="inlineStr">
        <is>
          <t>2단계</t>
        </is>
      </c>
      <c r="B31" s="20" t="inlineStr">
        <is>
          <t>형식 칸에  #,##0"EA"  라고 칩니다.</t>
        </is>
      </c>
      <c r="C31" s="24" t="inlineStr">
        <is>
          <t>숫자 서식 뒤에 글자를 붙이는 방식</t>
        </is>
      </c>
    </row>
    <row r="32" ht="28" customHeight="1">
      <c r="A32" s="35" t="inlineStr">
        <is>
          <t>3단계</t>
        </is>
      </c>
      <c r="B32" s="20" t="inlineStr">
        <is>
          <t>A4:A43 를 잡고 Ctrl+1 → 사용자 지정.</t>
        </is>
      </c>
      <c r="C32" s="24" t="inlineStr"/>
    </row>
    <row r="33" ht="28" customHeight="1">
      <c r="A33" s="35" t="inlineStr">
        <is>
          <t>4단계</t>
        </is>
      </c>
      <c r="B33" s="20" t="inlineStr">
        <is>
          <t>형식 칸에  mm-dd(aaa)  라고 칩니다.</t>
        </is>
      </c>
      <c r="C33" s="24" t="inlineStr">
        <is>
          <t>aaa = 월·화·수 / aaaa = 월요일</t>
        </is>
      </c>
    </row>
    <row r="34" ht="26" customHeight="1">
      <c r="A34" s="36" t="inlineStr">
        <is>
          <t>확인</t>
        </is>
      </c>
      <c r="B34" s="37" t="inlineStr">
        <is>
          <t>이렇게 되면 성공 — 수량이 120EA, 날짜가 03-02(월) 처럼 보입니다</t>
        </is>
      </c>
    </row>
    <row r="36" ht="24" customHeight="1">
      <c r="A36" s="32" t="inlineStr">
        <is>
          <t xml:space="preserve">  미션 5 · 수량 100 이상인 행 전체 칠하기</t>
        </is>
      </c>
    </row>
    <row r="37" ht="20" customHeight="1">
      <c r="A37" s="33" t="inlineStr">
        <is>
          <t>어디서</t>
        </is>
      </c>
      <c r="B37" s="34" t="inlineStr">
        <is>
          <t>[자재입출고] 조건부 서식</t>
        </is>
      </c>
    </row>
    <row r="38" ht="28" customHeight="1">
      <c r="A38" s="35" t="inlineStr">
        <is>
          <t>1단계</t>
        </is>
      </c>
      <c r="B38" s="20" t="inlineStr">
        <is>
          <t>A4:J43 를 잡습니다. (머리글은 빼고)</t>
        </is>
      </c>
      <c r="C38" s="24" t="inlineStr">
        <is>
          <t>반드시 표 전체를 잡아야 행 전체가 칠해집니다</t>
        </is>
      </c>
    </row>
    <row r="39" ht="28" customHeight="1">
      <c r="A39" s="35" t="inlineStr">
        <is>
          <t>2단계</t>
        </is>
      </c>
      <c r="B39" s="20" t="inlineStr">
        <is>
          <t>홈 → 조건부 서식 → 새 규칙 → [수식을 사용하여…].</t>
        </is>
      </c>
      <c r="C39" s="24" t="inlineStr">
        <is>
          <t>맨 아래 항목입니다</t>
        </is>
      </c>
    </row>
    <row r="40" ht="28" customHeight="1">
      <c r="A40" s="35" t="inlineStr">
        <is>
          <t>3단계</t>
        </is>
      </c>
      <c r="B40" s="20" t="inlineStr">
        <is>
          <t>수식 칸에  =$F4&gt;=100  을 씁니다.</t>
        </is>
      </c>
      <c r="C40" s="24" t="inlineStr">
        <is>
          <t>★ 열만 $ 로 고정($F4). $F$4 로 하면 첫 줄만 봅니다</t>
        </is>
      </c>
    </row>
    <row r="41" ht="28" customHeight="1">
      <c r="A41" s="35" t="inlineStr">
        <is>
          <t>4단계</t>
        </is>
      </c>
      <c r="B41" s="20" t="inlineStr">
        <is>
          <t>[서식] → 채우기 → 연한 파랑 → 확인 → 확인.</t>
        </is>
      </c>
      <c r="C41" s="24" t="inlineStr"/>
    </row>
    <row r="42" ht="26" customHeight="1">
      <c r="A42" s="36" t="inlineStr">
        <is>
          <t>확인</t>
        </is>
      </c>
      <c r="B42" s="37" t="inlineStr">
        <is>
          <t>이렇게 되면 성공 — 수량이 100 이상인 줄만 통째로 파랗게 칠해집니다</t>
        </is>
      </c>
    </row>
    <row r="44" ht="24" customHeight="1">
      <c r="A44" s="32" t="inlineStr">
        <is>
          <t xml:space="preserve">  미션 6 · '출고' 행 글자를 빨강 굵게</t>
        </is>
      </c>
    </row>
    <row r="45" ht="20" customHeight="1">
      <c r="A45" s="33" t="inlineStr">
        <is>
          <t>어디서</t>
        </is>
      </c>
      <c r="B45" s="34" t="inlineStr">
        <is>
          <t>[자재입출고] 조건부 서식</t>
        </is>
      </c>
    </row>
    <row r="46" ht="28" customHeight="1">
      <c r="A46" s="35" t="inlineStr">
        <is>
          <t>1단계</t>
        </is>
      </c>
      <c r="B46" s="20" t="inlineStr">
        <is>
          <t>A4:J43 를 잡습니다.</t>
        </is>
      </c>
      <c r="C46" s="24" t="inlineStr"/>
    </row>
    <row r="47" ht="28" customHeight="1">
      <c r="A47" s="35" t="inlineStr">
        <is>
          <t>2단계</t>
        </is>
      </c>
      <c r="B47" s="20" t="inlineStr">
        <is>
          <t>조건부 서식 → 새 규칙 → 수식 사용.</t>
        </is>
      </c>
      <c r="C47" s="24" t="inlineStr"/>
    </row>
    <row r="48" ht="28" customHeight="1">
      <c r="A48" s="35" t="inlineStr">
        <is>
          <t>3단계</t>
        </is>
      </c>
      <c r="B48" s="20" t="inlineStr">
        <is>
          <t>수식 칸에  =$E4="출고"  를 씁니다.</t>
        </is>
      </c>
      <c r="C48" s="24" t="inlineStr">
        <is>
          <t>글자 조건은 큰따옴표</t>
        </is>
      </c>
    </row>
    <row r="49" ht="28" customHeight="1">
      <c r="A49" s="35" t="inlineStr">
        <is>
          <t>4단계</t>
        </is>
      </c>
      <c r="B49" s="20" t="inlineStr">
        <is>
          <t>[서식] → 글꼴 → 빨강 + 굵게.</t>
        </is>
      </c>
      <c r="C49" s="24" t="inlineStr">
        <is>
          <t>규칙이 여러 개면 [규칙 관리] 에서 순서를 바꿀 수 있습니다</t>
        </is>
      </c>
    </row>
    <row r="50" ht="26" customHeight="1">
      <c r="A50" s="36" t="inlineStr">
        <is>
          <t>확인</t>
        </is>
      </c>
      <c r="B50" s="37" t="inlineStr">
        <is>
          <t>이렇게 되면 성공 — 출고 줄만 빨간 굵은 글씨가 됩니다</t>
        </is>
      </c>
    </row>
    <row r="52" ht="24" customHeight="1">
      <c r="A52" s="32" t="inlineStr">
        <is>
          <t xml:space="preserve">  미션 7 · 금액 상위 5개 · 단가 데이터 막대</t>
        </is>
      </c>
    </row>
    <row r="53" ht="20" customHeight="1">
      <c r="A53" s="33" t="inlineStr">
        <is>
          <t>어디서</t>
        </is>
      </c>
      <c r="B53" s="34" t="inlineStr">
        <is>
          <t>[자재입출고] H열 · G열</t>
        </is>
      </c>
    </row>
    <row r="54" ht="28" customHeight="1">
      <c r="A54" s="35" t="inlineStr">
        <is>
          <t>1단계</t>
        </is>
      </c>
      <c r="B54" s="20" t="inlineStr">
        <is>
          <t>H4:H43 를 잡습니다.</t>
        </is>
      </c>
      <c r="C54" s="24" t="inlineStr"/>
    </row>
    <row r="55" ht="28" customHeight="1">
      <c r="A55" s="35" t="inlineStr">
        <is>
          <t>2단계</t>
        </is>
      </c>
      <c r="B55" s="20" t="inlineStr">
        <is>
          <t>조건부 서식 → 상위/하위 규칙 → 상위 10개 → 숫자를 5 로 바꿉니다.</t>
        </is>
      </c>
      <c r="C55" s="24" t="inlineStr"/>
    </row>
    <row r="56" ht="28" customHeight="1">
      <c r="A56" s="35" t="inlineStr">
        <is>
          <t>3단계</t>
        </is>
      </c>
      <c r="B56" s="20" t="inlineStr">
        <is>
          <t>G4:G43 를 잡습니다.</t>
        </is>
      </c>
      <c r="C56" s="24" t="inlineStr"/>
    </row>
    <row r="57" ht="28" customHeight="1">
      <c r="A57" s="35" t="inlineStr">
        <is>
          <t>4단계</t>
        </is>
      </c>
      <c r="B57" s="20" t="inlineStr">
        <is>
          <t>조건부 서식 → 데이터 막대 → 아무 색이나 고릅니다.</t>
        </is>
      </c>
      <c r="C57" s="24" t="inlineStr">
        <is>
          <t>칸 안에 막대가 그려져 크기를 한눈에 봅니다</t>
        </is>
      </c>
    </row>
    <row r="58" ht="26" customHeight="1">
      <c r="A58" s="36" t="inlineStr">
        <is>
          <t>확인</t>
        </is>
      </c>
      <c r="B58" s="37" t="inlineStr">
        <is>
          <t>이렇게 되면 성공 — 금액 큰 5칸에 색이 들어가고, 단가 칸에 막대가 생깁니다</t>
        </is>
      </c>
    </row>
    <row r="60" ht="24" customHeight="1">
      <c r="A60" s="32" t="inlineStr">
        <is>
          <t xml:space="preserve">  미션 8 · 고급 필터 조건 범위 만들기</t>
        </is>
      </c>
    </row>
    <row r="61" ht="20" customHeight="1">
      <c r="A61" s="33" t="inlineStr">
        <is>
          <t>어디서</t>
        </is>
      </c>
      <c r="B61" s="34" t="inlineStr">
        <is>
          <t>[고급필터] 시트</t>
        </is>
      </c>
    </row>
    <row r="62" ht="28" customHeight="1">
      <c r="A62" s="35" t="inlineStr">
        <is>
          <t>1단계</t>
        </is>
      </c>
      <c r="B62" s="20" t="inlineStr">
        <is>
          <t>A5 에  구분 ,  B5 에  수량  이라고 씁니다.</t>
        </is>
      </c>
      <c r="C62" s="24" t="inlineStr">
        <is>
          <t>★ '자재입출고' 3행의 머리글과 글자가 똑같아야 합니다. 복사해 붙여 넣는 것이 가장 안전</t>
        </is>
      </c>
    </row>
    <row r="63" ht="28" customHeight="1">
      <c r="A63" s="35" t="inlineStr">
        <is>
          <t>2단계</t>
        </is>
      </c>
      <c r="B63" s="20" t="inlineStr">
        <is>
          <t>A6 에  출고 ,  B6 에  &gt;=30  이라고 씁니다.</t>
        </is>
      </c>
      <c r="C63" s="24" t="inlineStr">
        <is>
          <t>같은 줄 = 두 조건을 모두 만족(그리고)</t>
        </is>
      </c>
    </row>
    <row r="64" ht="28" customHeight="1">
      <c r="A64" s="35" t="inlineStr">
        <is>
          <t>3단계</t>
        </is>
      </c>
      <c r="B64" s="20" t="inlineStr">
        <is>
          <t>A9 에  창고 , A10 에  1창고 , A11 에  3창고.</t>
        </is>
      </c>
      <c r="C64" s="24" t="inlineStr">
        <is>
          <t>줄을 달리 = 둘 중 하나(또는)</t>
        </is>
      </c>
    </row>
    <row r="65" ht="28" customHeight="1">
      <c r="A65" s="35" t="inlineStr">
        <is>
          <t>4단계</t>
        </is>
      </c>
      <c r="B65" s="20" t="inlineStr">
        <is>
          <t>A14 에  자재코드 , A15 에  S* / A18 에  담당자·구분, A19 에  이서연·입고.</t>
        </is>
      </c>
      <c r="C65" s="24" t="inlineStr">
        <is>
          <t>* 는 글자 여러 개</t>
        </is>
      </c>
    </row>
    <row r="66" ht="26" customHeight="1">
      <c r="A66" s="36" t="inlineStr">
        <is>
          <t>확인</t>
        </is>
      </c>
      <c r="B66" s="37" t="inlineStr">
        <is>
          <t>이렇게 되면 성공 — 조건 표 네 개가 만들어집니다</t>
        </is>
      </c>
    </row>
    <row r="68" ht="24" customHeight="1">
      <c r="A68" s="32" t="inlineStr">
        <is>
          <t xml:space="preserve">  미션 9 · 고급 필터 실행하기</t>
        </is>
      </c>
    </row>
    <row r="69" ht="20" customHeight="1">
      <c r="A69" s="33" t="inlineStr">
        <is>
          <t>어디서</t>
        </is>
      </c>
      <c r="B69" s="34" t="inlineStr">
        <is>
          <t>[고급필터] 시트 → 데이터 탭</t>
        </is>
      </c>
    </row>
    <row r="70" ht="28" customHeight="1">
      <c r="A70" s="35" t="inlineStr">
        <is>
          <t>1단계</t>
        </is>
      </c>
      <c r="B70" s="20" t="inlineStr">
        <is>
          <t>[고급필터] 시트의 아무 빈 칸을 클릭한 뒤 데이터 → 고급.</t>
        </is>
      </c>
      <c r="C70" s="24" t="inlineStr">
        <is>
          <t>결과를 이 시트에 붙일 것이므로</t>
        </is>
      </c>
    </row>
    <row r="71" ht="28" customHeight="1">
      <c r="A71" s="35" t="inlineStr">
        <is>
          <t>2단계</t>
        </is>
      </c>
      <c r="B71" s="20" t="inlineStr">
        <is>
          <t>[다른 장소에 복사] 를 고릅니다.</t>
        </is>
      </c>
      <c r="C71" s="24" t="inlineStr">
        <is>
          <t>'현재 위치에 필터' 를 고르면 원본이 숨겨집니다</t>
        </is>
      </c>
    </row>
    <row r="72" ht="28" customHeight="1">
      <c r="A72" s="35" t="inlineStr">
        <is>
          <t>3단계</t>
        </is>
      </c>
      <c r="B72" s="20" t="inlineStr">
        <is>
          <t>목록 범위 칸을 클릭하고 '자재입출고' 시트의 A3:J43 를 드래그.</t>
        </is>
      </c>
      <c r="C72" s="24" t="inlineStr">
        <is>
          <t>머리글 줄부터 잡습니다</t>
        </is>
      </c>
    </row>
    <row r="73" ht="28" customHeight="1">
      <c r="A73" s="35" t="inlineStr">
        <is>
          <t>4단계</t>
        </is>
      </c>
      <c r="B73" s="20" t="inlineStr">
        <is>
          <t>조건 범위에 A5:B6, 복사 위치에 A25 를 지정하고 확인.</t>
        </is>
      </c>
      <c r="C73" s="24" t="inlineStr"/>
    </row>
    <row r="74" ht="26" customHeight="1">
      <c r="A74" s="36" t="inlineStr">
        <is>
          <t>확인</t>
        </is>
      </c>
      <c r="B74" s="37" t="inlineStr">
        <is>
          <t>이렇게 되면 성공 — A25 부터 조건에 맞는 줄만 머리글과 함께 나타납니다</t>
        </is>
      </c>
    </row>
    <row r="76" ht="24" customHeight="1">
      <c r="A76" s="32" t="inlineStr">
        <is>
          <t xml:space="preserve">  미션 10 · 데이터 유효성 검사 — 목록 만들기</t>
        </is>
      </c>
    </row>
    <row r="77" ht="20" customHeight="1">
      <c r="A77" s="33" t="inlineStr">
        <is>
          <t>어디서</t>
        </is>
      </c>
      <c r="B77" s="34" t="inlineStr">
        <is>
          <t>[자재입출고] E열</t>
        </is>
      </c>
    </row>
    <row r="78" ht="28" customHeight="1">
      <c r="A78" s="35" t="inlineStr">
        <is>
          <t>1단계</t>
        </is>
      </c>
      <c r="B78" s="20" t="inlineStr">
        <is>
          <t>E4:E43 를 잡습니다.</t>
        </is>
      </c>
      <c r="C78" s="24" t="inlineStr"/>
    </row>
    <row r="79" ht="28" customHeight="1">
      <c r="A79" s="35" t="inlineStr">
        <is>
          <t>2단계</t>
        </is>
      </c>
      <c r="B79" s="20" t="inlineStr">
        <is>
          <t>데이터 → 데이터 유효성 검사 → [설정] 탭.</t>
        </is>
      </c>
      <c r="C79" s="24" t="inlineStr"/>
    </row>
    <row r="80" ht="28" customHeight="1">
      <c r="A80" s="35" t="inlineStr">
        <is>
          <t>3단계</t>
        </is>
      </c>
      <c r="B80" s="20" t="inlineStr">
        <is>
          <t>제한 대상을 [목록] 으로 바꿉니다.</t>
        </is>
      </c>
      <c r="C80" s="24" t="inlineStr"/>
    </row>
    <row r="81" ht="28" customHeight="1">
      <c r="A81" s="35" t="inlineStr">
        <is>
          <t>4단계</t>
        </is>
      </c>
      <c r="B81" s="20" t="inlineStr">
        <is>
          <t>원본 칸에  =목록!$A$4:$A$5  를 넣고 확인.</t>
        </is>
      </c>
      <c r="C81" s="24" t="inlineStr">
        <is>
          <t>직접  입고,출고  라고 쉼표로 나열해도 됩니다</t>
        </is>
      </c>
    </row>
    <row r="82" ht="26" customHeight="1">
      <c r="A82" s="36" t="inlineStr">
        <is>
          <t>확인</t>
        </is>
      </c>
      <c r="B82" s="37" t="inlineStr">
        <is>
          <t>이렇게 되면 성공 — E열 칸을 클릭하면 오른쪽에 삼각형 단추가 생기고 입고/출고만 고를 수 있습니다</t>
        </is>
      </c>
    </row>
    <row r="84" ht="24" customHeight="1">
      <c r="A84" s="32" t="inlineStr">
        <is>
          <t xml:space="preserve">  미션 11 · 틀 고정</t>
        </is>
      </c>
    </row>
    <row r="85" ht="20" customHeight="1">
      <c r="A85" s="33" t="inlineStr">
        <is>
          <t>어디서</t>
        </is>
      </c>
      <c r="B85" s="34" t="inlineStr">
        <is>
          <t>[자재입출고] 보기 탭</t>
        </is>
      </c>
    </row>
    <row r="86" ht="28" customHeight="1">
      <c r="A86" s="35" t="inlineStr">
        <is>
          <t>1단계</t>
        </is>
      </c>
      <c r="B86" s="20" t="inlineStr">
        <is>
          <t>A4 를 클릭합니다.</t>
        </is>
      </c>
      <c r="C86" s="24" t="inlineStr">
        <is>
          <t>★ 클릭한 칸의 '위쪽과 왼쪽' 이 고정됩니다</t>
        </is>
      </c>
    </row>
    <row r="87" ht="28" customHeight="1">
      <c r="A87" s="35" t="inlineStr">
        <is>
          <t>2단계</t>
        </is>
      </c>
      <c r="B87" s="20" t="inlineStr">
        <is>
          <t>보기 → 틀 고정 → 틀 고정.</t>
        </is>
      </c>
      <c r="C87" s="24" t="inlineStr"/>
    </row>
    <row r="88" ht="28" customHeight="1">
      <c r="A88" s="35" t="inlineStr">
        <is>
          <t>3단계</t>
        </is>
      </c>
      <c r="B88" s="20" t="inlineStr">
        <is>
          <t>아래로 스크롤해 봅니다.</t>
        </is>
      </c>
      <c r="C88" s="24" t="inlineStr">
        <is>
          <t>3행 머리글이 붙어 있으면 성공</t>
        </is>
      </c>
    </row>
    <row r="89" ht="28" customHeight="1">
      <c r="A89" s="35" t="inlineStr">
        <is>
          <t>4단계</t>
        </is>
      </c>
      <c r="B89" s="20" t="inlineStr">
        <is>
          <t>풀려면 보기 → 틀 고정 → 틀 고정 취소.</t>
        </is>
      </c>
      <c r="C89" s="24" t="inlineStr"/>
    </row>
    <row r="90" ht="26" customHeight="1">
      <c r="A90" s="36" t="inlineStr">
        <is>
          <t>확인</t>
        </is>
      </c>
      <c r="B90" s="37" t="inlineStr">
        <is>
          <t>이렇게 되면 성공 — 스크롤해도 머리글 줄이 화면에 남습니다</t>
        </is>
      </c>
    </row>
    <row r="92" ht="24" customHeight="1">
      <c r="A92" s="32" t="inlineStr">
        <is>
          <t xml:space="preserve">  미션 12 · 이름 정의해서 쓰기</t>
        </is>
      </c>
    </row>
    <row r="93" ht="20" customHeight="1">
      <c r="A93" s="33" t="inlineStr">
        <is>
          <t>어디서</t>
        </is>
      </c>
      <c r="B93" s="34" t="inlineStr">
        <is>
          <t>[자재입출고] 수식 탭</t>
        </is>
      </c>
    </row>
    <row r="94" ht="28" customHeight="1">
      <c r="A94" s="35" t="inlineStr">
        <is>
          <t>1단계</t>
        </is>
      </c>
      <c r="B94" s="20" t="inlineStr">
        <is>
          <t>F4:F43 를 잡습니다.</t>
        </is>
      </c>
      <c r="C94" s="24" t="inlineStr">
        <is>
          <t>수량 열</t>
        </is>
      </c>
    </row>
    <row r="95" ht="28" customHeight="1">
      <c r="A95" s="35" t="inlineStr">
        <is>
          <t>2단계</t>
        </is>
      </c>
      <c r="B95" s="20" t="inlineStr">
        <is>
          <t>수식 → 이름 정의 → 이름에  수량  이라고 씁니다.</t>
        </is>
      </c>
      <c r="C95" s="24" t="inlineStr">
        <is>
          <t>화면 왼쪽 위 '이름 상자' 에 직접 쳐도 됩니다</t>
        </is>
      </c>
    </row>
    <row r="96" ht="28" customHeight="1">
      <c r="A96" s="35" t="inlineStr">
        <is>
          <t>3단계</t>
        </is>
      </c>
      <c r="B96" s="20" t="inlineStr">
        <is>
          <t>아무 빈 칸에  =SUM(수량)  이라고 씁니다.</t>
        </is>
      </c>
      <c r="C96" s="24" t="inlineStr">
        <is>
          <t>=SUM(F4:F43) 와 같은 값이 나옵니다</t>
        </is>
      </c>
    </row>
    <row r="97" ht="28" customHeight="1">
      <c r="A97" s="35" t="inlineStr">
        <is>
          <t>4단계</t>
        </is>
      </c>
      <c r="B97" s="20" t="inlineStr">
        <is>
          <t>수식 → 이름 관리자 에서 확인합니다.</t>
        </is>
      </c>
      <c r="C97" s="24" t="inlineStr">
        <is>
          <t>이름을 지우면 그 이름을 쓴 수식은 #NAME? 가 됩니다</t>
        </is>
      </c>
    </row>
    <row r="98" ht="26" customHeight="1">
      <c r="A98" s="36" t="inlineStr">
        <is>
          <t>확인</t>
        </is>
      </c>
      <c r="B98" s="37" t="inlineStr">
        <is>
          <t>이렇게 되면 성공 — =SUM(수량) 이 계산됩니다</t>
        </is>
      </c>
    </row>
  </sheetData>
  <mergeCells count="38">
    <mergeCell ref="B90:C90"/>
    <mergeCell ref="A84:C84"/>
    <mergeCell ref="B66:C66"/>
    <mergeCell ref="B93:C93"/>
    <mergeCell ref="B18:C18"/>
    <mergeCell ref="A12:C12"/>
    <mergeCell ref="A2:C2"/>
    <mergeCell ref="B58:C58"/>
    <mergeCell ref="B77:C77"/>
    <mergeCell ref="B21:C21"/>
    <mergeCell ref="A76:C76"/>
    <mergeCell ref="B98:C98"/>
    <mergeCell ref="B42:C42"/>
    <mergeCell ref="B61:C61"/>
    <mergeCell ref="A4:C4"/>
    <mergeCell ref="A20:C20"/>
    <mergeCell ref="B53:C53"/>
    <mergeCell ref="B82:C82"/>
    <mergeCell ref="A52:C52"/>
    <mergeCell ref="B13:C13"/>
    <mergeCell ref="A28:C28"/>
    <mergeCell ref="B69:C69"/>
    <mergeCell ref="A68:C68"/>
    <mergeCell ref="B29:C29"/>
    <mergeCell ref="A44:C44"/>
    <mergeCell ref="B34:C34"/>
    <mergeCell ref="B37:C37"/>
    <mergeCell ref="B10:C10"/>
    <mergeCell ref="A92:C92"/>
    <mergeCell ref="B74:C74"/>
    <mergeCell ref="A60:C60"/>
    <mergeCell ref="A36:C36"/>
    <mergeCell ref="A1:C1"/>
    <mergeCell ref="B5:C5"/>
    <mergeCell ref="B45:C45"/>
    <mergeCell ref="B85:C85"/>
    <mergeCell ref="B50:C50"/>
    <mergeCell ref="B26:C26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15" t="inlineStr">
        <is>
          <t>2급 ② 기본작업 — 계산 문제 정답</t>
        </is>
      </c>
    </row>
    <row r="2" ht="30" customHeight="1">
      <c r="A2" s="14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38" t="inlineStr">
        <is>
          <t xml:space="preserve">  표 아래 계산 문제 6개</t>
        </is>
      </c>
    </row>
    <row r="5" ht="24" customHeight="1">
      <c r="A5" s="5" t="inlineStr">
        <is>
          <t>번호</t>
        </is>
      </c>
      <c r="B5" s="5" t="inlineStr">
        <is>
          <t>넣을 칸</t>
        </is>
      </c>
      <c r="C5" s="5" t="inlineStr">
        <is>
          <t>무엇을 구하나</t>
        </is>
      </c>
      <c r="D5" s="5" t="inlineStr">
        <is>
          <t>정답 수식</t>
        </is>
      </c>
      <c r="E5" s="5" t="inlineStr">
        <is>
          <t>정답값</t>
        </is>
      </c>
      <c r="F5" s="5" t="inlineStr">
        <is>
          <t>왜 그런가 · 자주 하는 실수</t>
        </is>
      </c>
    </row>
    <row r="6" ht="30" customHeight="1">
      <c r="A6" s="8" t="n">
        <v>1</v>
      </c>
      <c r="B6" s="39" t="inlineStr">
        <is>
          <t>자재입출고 F51</t>
        </is>
      </c>
      <c r="C6" s="40" t="inlineStr">
        <is>
          <t>입고(E열이 "입고")인 자재의 수량[F4:F43] 합계.</t>
        </is>
      </c>
      <c r="D6" s="41" t="inlineStr">
        <is>
          <t>=SUMIF($E$4:$E$43,"입고",$F$4:$F$43)</t>
        </is>
      </c>
      <c r="E6" s="42">
        <f>'자재입출고'!AB51</f>
        <v/>
      </c>
      <c r="F6" s="40" t="inlineStr">
        <is>
          <t>입고만 골라 더합니다</t>
        </is>
      </c>
    </row>
    <row r="7" ht="30" customHeight="1">
      <c r="A7" s="43" t="n">
        <v>2</v>
      </c>
      <c r="B7" s="44" t="inlineStr">
        <is>
          <t>자재입출고 F52</t>
        </is>
      </c>
      <c r="C7" s="45" t="inlineStr">
        <is>
          <t>출고 건수.</t>
        </is>
      </c>
      <c r="D7" s="46" t="inlineStr">
        <is>
          <t>=COUNTIF(E4:E43,"출고")</t>
        </is>
      </c>
      <c r="E7" s="47">
        <f>'자재입출고'!AB52</f>
        <v/>
      </c>
      <c r="F7" s="45" t="inlineStr"/>
    </row>
    <row r="8" ht="30" customHeight="1">
      <c r="A8" s="8" t="n">
        <v>3</v>
      </c>
      <c r="B8" s="39" t="inlineStr">
        <is>
          <t>자재입출고 F53</t>
        </is>
      </c>
      <c r="C8" s="40" t="inlineStr">
        <is>
          <t>1창고에서 오간 수량의 합계.</t>
        </is>
      </c>
      <c r="D8" s="41" t="inlineStr">
        <is>
          <t>=SUMIF($I$4:$I$43,"1창고",$F$4:$F$43)</t>
        </is>
      </c>
      <c r="E8" s="42">
        <f>'자재입출고'!AB53</f>
        <v/>
      </c>
      <c r="F8" s="40" t="inlineStr"/>
    </row>
    <row r="9" ht="30" customHeight="1">
      <c r="A9" s="43" t="n">
        <v>4</v>
      </c>
      <c r="B9" s="44" t="inlineStr">
        <is>
          <t>자재입출고 F54</t>
        </is>
      </c>
      <c r="C9" s="45" t="inlineStr">
        <is>
          <t>단가[G4:G43] 가 가장 비싼 자재의 단가.</t>
        </is>
      </c>
      <c r="D9" s="46" t="inlineStr">
        <is>
          <t>=MAX(G4:G43)</t>
        </is>
      </c>
      <c r="E9" s="47">
        <f>'자재입출고'!AB54</f>
        <v/>
      </c>
      <c r="F9" s="45" t="inlineStr"/>
    </row>
    <row r="10" ht="30" customHeight="1">
      <c r="A10" s="8" t="n">
        <v>5</v>
      </c>
      <c r="B10" s="39" t="inlineStr">
        <is>
          <t>자재입출고 F55</t>
        </is>
      </c>
      <c r="C10" s="40" t="inlineStr">
        <is>
          <t>담당자가 "김현수" 인 건수.</t>
        </is>
      </c>
      <c r="D10" s="41" t="inlineStr">
        <is>
          <t>=COUNTIF(J4:J43,"김현수")</t>
        </is>
      </c>
      <c r="E10" s="42">
        <f>'자재입출고'!AB55</f>
        <v/>
      </c>
      <c r="F10" s="40" t="inlineStr"/>
    </row>
    <row r="11" ht="30" customHeight="1">
      <c r="A11" s="43" t="n">
        <v>6</v>
      </c>
      <c r="B11" s="44" t="inlineStr">
        <is>
          <t>자재입출고 F56</t>
        </is>
      </c>
      <c r="C11" s="45" t="inlineStr">
        <is>
          <t>전표번호[B4] 의 앞 2글자. (IN / OT 로 입출고 구분)</t>
        </is>
      </c>
      <c r="D11" s="46" t="inlineStr">
        <is>
          <t>=LEFT(B4,2)</t>
        </is>
      </c>
      <c r="E11" s="47">
        <f>'자재입출고'!AB56</f>
        <v/>
      </c>
      <c r="F11" s="45" t="inlineStr">
        <is>
          <t>IN 은 입고, OT 는 출고를 뜻합니다</t>
        </is>
      </c>
    </row>
  </sheetData>
  <mergeCells count="3">
    <mergeCell ref="A2:F2"/>
    <mergeCell ref="A1:F1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2026-09-21T03:26:00Z</dcterms:created>
  <dcterms:modified xmlns:dcterms="http://purl.org/dc/terms/" xmlns:xsi="http://www.w3.org/2001/XMLSchema-instance" xsi:type="dcterms:W3CDTF">2026-09-21T03:26:00Z</dcterms:modified>
</cp:coreProperties>
</file>