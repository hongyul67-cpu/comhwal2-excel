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① 셀참조" sheetId="2" state="visible" r:id="rId2"/>
    <sheet xmlns:r="http://schemas.openxmlformats.org/officeDocument/2006/relationships" name="② 오류값" sheetId="3" state="visible" r:id="rId3"/>
    <sheet xmlns:r="http://schemas.openxmlformats.org/officeDocument/2006/relationships" name="③ 표시형식" sheetId="4" state="visible" r:id="rId4"/>
    <sheet xmlns:r="http://schemas.openxmlformats.org/officeDocument/2006/relationships" name="④ 연산자" sheetId="5" state="visible" r:id="rId5"/>
    <sheet xmlns:r="http://schemas.openxmlformats.org/officeDocument/2006/relationships" name="⑤ 이름정의" sheetId="6" state="visible" r:id="rId6"/>
    <sheet xmlns:r="http://schemas.openxmlformats.org/officeDocument/2006/relationships" name="⑥ 자동채우기" sheetId="7" state="visible" r:id="rId7"/>
  </sheets>
  <definedNames>
    <definedName name="생산량">'⑤ 이름정의'!$B$5:$B$9</definedName>
    <definedName name="불량수">'⑤ 이름정의'!$C$5:$C$9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,&quot;천원&quot;"/>
    <numFmt numFmtId="165" formatCode="0.0%"/>
    <numFmt numFmtId="166" formatCode="yyyy-mm-dd(aaa)"/>
    <numFmt numFmtId="167" formatCode="mm&quot;월&quot; dd&quot;일&quot;"/>
    <numFmt numFmtId="168" formatCode="#,##0;[Red]-#,##0"/>
    <numFmt numFmtId="169" formatCode="#,##0;-#,##0;&quot;-&quot;"/>
    <numFmt numFmtId="170" formatCode="@&quot;-A&quot;"/>
  </numFmts>
  <fonts count="13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1F3864"/>
      <sz val="14"/>
    </font>
    <font>
      <b val="1"/>
    </font>
    <font>
      <b val="1"/>
      <color rgb="00FFFFFF"/>
      <sz val="11"/>
    </font>
    <font>
      <b val="1"/>
      <color rgb="00C00000"/>
    </font>
    <font>
      <name val="Consolas"/>
      <sz val="10"/>
    </font>
    <font>
      <b val="1"/>
      <color rgb="002E7D32"/>
    </font>
    <font>
      <b val="1"/>
      <color rgb="002E5C8A"/>
    </font>
    <font>
      <sz val="10"/>
    </font>
  </fonts>
  <fills count="6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F2F2F2"/>
      </patternFill>
    </fill>
    <fill>
      <patternFill patternType="solid">
        <fgColor rgb="002E5C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center"/>
    </xf>
    <xf numFmtId="9" fontId="6" fillId="3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3" fontId="0" fillId="0" borderId="1" pivotButton="0" quotePrefix="0" xfId="0"/>
    <xf numFmtId="0" fontId="6" fillId="3" borderId="1" applyAlignment="1" pivotButton="0" quotePrefix="0" xfId="0">
      <alignment horizontal="center" vertical="center"/>
    </xf>
    <xf numFmtId="3" fontId="6" fillId="0" borderId="1" pivotButton="0" quotePrefix="0" xfId="0"/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0" fillId="0" borderId="1" pivotButton="0" quotePrefix="0" xfId="0"/>
    <xf numFmtId="49" fontId="9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1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8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170" fontId="0" fillId="0" borderId="1" pivotButton="0" quotePrefix="0" xfId="0"/>
    <xf numFmtId="0" fontId="11" fillId="0" borderId="1" applyAlignment="1" pivotButton="0" quotePrefix="0" xfId="0">
      <alignment vertical="center"/>
    </xf>
    <xf numFmtId="0" fontId="4" fillId="0" borderId="0" pivotButton="0" quotePrefix="0" xfId="0"/>
    <xf numFmtId="0" fontId="12" fillId="0" borderId="0" pivotButton="0" quotePrefix="0" xfId="0"/>
    <xf numFmtId="0" fontId="6" fillId="0" borderId="0" pivotButton="0" quotePrefix="0" xfId="0"/>
    <xf numFmtId="10" fontId="0" fillId="0" borderId="1" pivotButton="0" quotePrefix="0" xfId="0"/>
    <xf numFmtId="0" fontId="0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엑셀 이론 체험 — 필기에서 글로 외운 것을 실제로 눌러 보기</t>
        </is>
      </c>
    </row>
    <row r="3" ht="19" customHeight="1">
      <c r="B3" s="2" t="inlineStr"/>
    </row>
    <row r="4" ht="19" customHeight="1">
      <c r="B4" s="2" t="inlineStr">
        <is>
          <t>필기 문제집에 글자로만 나오는 것들을 이 파일에서 직접 확인합니다.</t>
        </is>
      </c>
    </row>
    <row r="5" ht="19" customHeight="1">
      <c r="B5" s="2" t="inlineStr">
        <is>
          <t>셀을 눌러 수식 입력줄(위쪽 fx 줄)에 무엇이 적혀 있는지 보는 것이 이 파일의 사용법입니다.</t>
        </is>
      </c>
    </row>
    <row r="6" ht="19" customHeight="1">
      <c r="B6" s="2" t="inlineStr"/>
    </row>
    <row r="7" ht="24" customHeight="1">
      <c r="B7" s="3" t="inlineStr">
        <is>
          <t>시트 안내</t>
        </is>
      </c>
    </row>
    <row r="8" ht="19" customHeight="1">
      <c r="B8" s="2" t="inlineStr">
        <is>
          <t>① 셀참조    — 상대참조 / 절대참조($) / 혼합참조를 복사해 보며 차이를 확인</t>
        </is>
      </c>
    </row>
    <row r="9" ht="19" customHeight="1">
      <c r="B9" s="2" t="inlineStr">
        <is>
          <t>② 오류값    — #DIV/0!  #N/A  #VALUE!  #NAME?  #NUM!  #REF!  #NULL!  7가지가 실제로 떠 있음</t>
        </is>
      </c>
    </row>
    <row r="10" ht="19" customHeight="1">
      <c r="B10" s="2" t="inlineStr">
        <is>
          <t>③ 표시형식  — 같은 숫자에 서식만 달리 준 것. 값은 그대로인데 보이는 모양만 바뀜</t>
        </is>
      </c>
    </row>
    <row r="11" ht="19" customHeight="1">
      <c r="B11" s="2" t="inlineStr">
        <is>
          <t>④ 연산자    — 산술·비교·문자열(&amp;)·참조 연산자와 우선순위</t>
        </is>
      </c>
    </row>
    <row r="12" ht="19" customHeight="1">
      <c r="B12" s="2" t="inlineStr">
        <is>
          <t>⑤ 이름정의  — 범위에 이름을 붙여 수식에 쓰기 (수식 → 이름 관리자)</t>
        </is>
      </c>
    </row>
    <row r="13" ht="19" customHeight="1">
      <c r="B13" s="2" t="inlineStr">
        <is>
          <t>⑥ 자동채우기 — 채우기 핸들을 끌었을 때 무엇이 어떻게 늘어나는지</t>
        </is>
      </c>
    </row>
    <row r="14" ht="19" customHeight="1">
      <c r="B14" s="2" t="inlineStr"/>
    </row>
    <row r="15" ht="24" customHeight="1">
      <c r="B15" s="3" t="inlineStr">
        <is>
          <t>이렇게 쓰세요</t>
        </is>
      </c>
    </row>
    <row r="16" ht="19" customHeight="1">
      <c r="B16" s="2" t="inlineStr">
        <is>
          <t>1. 노란 칸이 나오면 직접 채워 봅니다.</t>
        </is>
      </c>
    </row>
    <row r="17" ht="19" customHeight="1">
      <c r="B17" s="2" t="inlineStr">
        <is>
          <t>2. 수식이 들어 있는 칸은 F2 를 눌러 안을 들여다봅니다.</t>
        </is>
      </c>
    </row>
    <row r="18" ht="19" customHeight="1">
      <c r="B18" s="2" t="inlineStr">
        <is>
          <t>3. 값이 0 으로 보이면  Ctrl + Alt + F9  (전체 다시 계산).</t>
        </is>
      </c>
    </row>
    <row r="19" ht="34" customHeight="1">
      <c r="B19" s="4" t="inlineStr">
        <is>
          <t>만든 목적 : 컴퓨터활용능력 필기·실기 수업 자료. 자료는 모두 지어낸 제조 현장 예시입니다.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" customWidth="1" min="7" max="7"/>
    <col width="46" customWidth="1" min="8" max="8"/>
  </cols>
  <sheetData>
    <row r="1" ht="26" customHeight="1">
      <c r="A1" s="5" t="inlineStr">
        <is>
          <t>셀 참조 — 상대 · 절대($) · 혼합</t>
        </is>
      </c>
    </row>
    <row r="2" ht="30" customHeight="1">
      <c r="A2" s="6" t="inlineStr">
        <is>
          <t>복사했을 때 주소가 따라 움직이면 상대참조, 고정되면 절대참조입니다. F4 키를 누르면 $ 가 순서대로 붙습니다.</t>
        </is>
      </c>
    </row>
    <row r="4">
      <c r="A4" s="7" t="inlineStr">
        <is>
          <t>부가세율</t>
        </is>
      </c>
      <c r="B4" s="8" t="n">
        <v>0.1</v>
      </c>
    </row>
    <row r="6" ht="24" customHeight="1">
      <c r="A6" s="9" t="inlineStr">
        <is>
          <t>자재명</t>
        </is>
      </c>
      <c r="B6" s="9" t="inlineStr">
        <is>
          <t>단가</t>
        </is>
      </c>
      <c r="C6" s="9" t="inlineStr">
        <is>
          <t>수량</t>
        </is>
      </c>
      <c r="D6" s="9" t="inlineStr">
        <is>
          <t>금액</t>
        </is>
      </c>
      <c r="E6" s="9" t="inlineStr">
        <is>
          <t>부가세(틀림)</t>
        </is>
      </c>
      <c r="F6" s="9" t="inlineStr">
        <is>
          <t>부가세(맞음)</t>
        </is>
      </c>
    </row>
    <row r="7">
      <c r="A7" s="10" t="inlineStr">
        <is>
          <t>베어링 6204</t>
        </is>
      </c>
      <c r="B7" s="11" t="n">
        <v>3200</v>
      </c>
      <c r="C7" s="10" t="n">
        <v>40</v>
      </c>
      <c r="D7" s="12">
        <f>B7*C7</f>
        <v/>
      </c>
      <c r="E7" s="12">
        <f>D7*B4</f>
        <v/>
      </c>
      <c r="F7" s="12">
        <f>D7*$B$4</f>
        <v/>
      </c>
    </row>
    <row r="8">
      <c r="A8" s="10" t="inlineStr">
        <is>
          <t>SM45C 환봉</t>
        </is>
      </c>
      <c r="B8" s="11" t="n">
        <v>18500</v>
      </c>
      <c r="C8" s="10" t="n">
        <v>12</v>
      </c>
      <c r="D8" s="12">
        <f>B8*C8</f>
        <v/>
      </c>
      <c r="E8" s="12">
        <f>D8*B4</f>
        <v/>
      </c>
      <c r="F8" s="12">
        <f>D8*$B$4</f>
        <v/>
      </c>
    </row>
    <row r="9">
      <c r="A9" s="10" t="inlineStr">
        <is>
          <t>유압호스 1/2</t>
        </is>
      </c>
      <c r="B9" s="11" t="n">
        <v>7400</v>
      </c>
      <c r="C9" s="10" t="n">
        <v>25</v>
      </c>
      <c r="D9" s="12">
        <f>B9*C9</f>
        <v/>
      </c>
      <c r="E9" s="12">
        <f>D9*B4</f>
        <v/>
      </c>
      <c r="F9" s="12">
        <f>D9*$B$4</f>
        <v/>
      </c>
    </row>
    <row r="10">
      <c r="A10" s="10" t="inlineStr">
        <is>
          <t>리니어 가이드</t>
        </is>
      </c>
      <c r="B10" s="11" t="n">
        <v>96000</v>
      </c>
      <c r="C10" s="10" t="n">
        <v>4</v>
      </c>
      <c r="D10" s="12">
        <f>B10*C10</f>
        <v/>
      </c>
      <c r="E10" s="12">
        <f>D10*B4</f>
        <v/>
      </c>
      <c r="F10" s="12">
        <f>D10*$B$4</f>
        <v/>
      </c>
    </row>
    <row r="12" ht="30" customHeight="1">
      <c r="A12" s="6" t="inlineStr">
        <is>
          <t>E열은 =D7*B4 를 그냥 아래로 복사한 것입니다. 두 번째 줄부터 B5, B6 … 빈 칸을 가리켜 0 이 됩니다.  F열은 =D7*$B$4 — 세율 칸이 고정되어 끝까지 맞습니다.</t>
        </is>
      </c>
    </row>
    <row r="14" ht="26" customHeight="1">
      <c r="A14" s="5" t="inlineStr">
        <is>
          <t>혼합참조로 구구단처럼 만드는 단가표</t>
        </is>
      </c>
    </row>
    <row r="15" ht="30" customHeight="1">
      <c r="A15" s="6" t="inlineStr">
        <is>
          <t>가로줄의 수량과 세로줄의 단가를 곱합니다. 수식 하나를 =$A18*B$17 로 만들어 오른쪽·아래로 끌면 표 전체가 채워집니다.</t>
        </is>
      </c>
    </row>
    <row r="17">
      <c r="A17" s="13" t="inlineStr">
        <is>
          <t>단가\수량</t>
        </is>
      </c>
      <c r="B17" s="13" t="n">
        <v>10</v>
      </c>
      <c r="C17" s="13" t="n">
        <v>20</v>
      </c>
      <c r="D17" s="13" t="n">
        <v>50</v>
      </c>
      <c r="E17" s="13" t="n">
        <v>100</v>
      </c>
    </row>
    <row r="18">
      <c r="A18" s="14" t="n">
        <v>3200</v>
      </c>
      <c r="B18" s="12">
        <f>$A18*B$17</f>
        <v/>
      </c>
      <c r="C18" s="12">
        <f>$A18*C$17</f>
        <v/>
      </c>
      <c r="D18" s="12">
        <f>$A18*D$17</f>
        <v/>
      </c>
      <c r="E18" s="12">
        <f>$A18*E$17</f>
        <v/>
      </c>
    </row>
    <row r="19">
      <c r="A19" s="14" t="n">
        <v>18500</v>
      </c>
      <c r="B19" s="12">
        <f>$A19*B$17</f>
        <v/>
      </c>
      <c r="C19" s="12">
        <f>$A19*C$17</f>
        <v/>
      </c>
      <c r="D19" s="12">
        <f>$A19*D$17</f>
        <v/>
      </c>
      <c r="E19" s="12">
        <f>$A19*E$17</f>
        <v/>
      </c>
    </row>
    <row r="20">
      <c r="A20" s="14" t="n">
        <v>7400</v>
      </c>
      <c r="B20" s="12">
        <f>$A20*B$17</f>
        <v/>
      </c>
      <c r="C20" s="12">
        <f>$A20*C$17</f>
        <v/>
      </c>
      <c r="D20" s="12">
        <f>$A20*D$17</f>
        <v/>
      </c>
      <c r="E20" s="12">
        <f>$A20*E$17</f>
        <v/>
      </c>
    </row>
    <row r="22" ht="30" customHeight="1">
      <c r="A22" s="6" t="inlineStr">
        <is>
          <t>직접 해보기 → C18 셀을 클릭하고 F2. $A18 의 A 앞에만 $ 가, B$17 의 17 앞에만 $ 가 붙은 것을 확인하세요.</t>
        </is>
      </c>
    </row>
  </sheetData>
  <mergeCells count="6">
    <mergeCell ref="A12:H12"/>
    <mergeCell ref="A15:H15"/>
    <mergeCell ref="A2:H2"/>
    <mergeCell ref="A14:H14"/>
    <mergeCell ref="A1:H1"/>
    <mergeCell ref="A22:H2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46" customWidth="1" min="4" max="4"/>
    <col width="34" customWidth="1" min="5" max="5"/>
  </cols>
  <sheetData>
    <row r="1" ht="26" customHeight="1">
      <c r="A1" s="5" t="inlineStr">
        <is>
          <t>엑셀 오류값 7가지 — 진짜로 띄워 놓은 것</t>
        </is>
      </c>
    </row>
    <row r="2" ht="30" customHeight="1">
      <c r="A2" s="6" t="inlineStr">
        <is>
          <t>필기에 그대로 나옵니다. 각 줄의 B열을 눌러 어떤 수식이 그 오류를 냈는지 확인하세요.</t>
        </is>
      </c>
    </row>
    <row r="4">
      <c r="A4" s="7" t="inlineStr">
        <is>
          <t>보조 자료</t>
        </is>
      </c>
      <c r="B4" s="7" t="n"/>
      <c r="C4" s="7" t="n"/>
      <c r="D4" s="7" t="n"/>
      <c r="E4" s="7" t="n"/>
    </row>
    <row r="5">
      <c r="A5" s="7" t="inlineStr">
        <is>
          <t>설비</t>
        </is>
      </c>
      <c r="B5" s="7" t="inlineStr">
        <is>
          <t>가동시간</t>
        </is>
      </c>
    </row>
    <row r="6">
      <c r="A6" s="10" t="inlineStr">
        <is>
          <t>CNC-01</t>
        </is>
      </c>
      <c r="B6" s="10" t="n">
        <v>7.5</v>
      </c>
    </row>
    <row r="7">
      <c r="A7" s="10" t="inlineStr">
        <is>
          <t>MCT-02</t>
        </is>
      </c>
      <c r="B7" s="10" t="n">
        <v>0</v>
      </c>
    </row>
    <row r="8">
      <c r="A8" s="10" t="inlineStr">
        <is>
          <t>PRESS-03</t>
        </is>
      </c>
      <c r="B8" s="10" t="n">
        <v>6.2</v>
      </c>
    </row>
    <row r="10" ht="24" customHeight="1">
      <c r="A10" s="9" t="inlineStr">
        <is>
          <t>오류값</t>
        </is>
      </c>
      <c r="B10" s="9" t="inlineStr">
        <is>
          <t>실제 결과</t>
        </is>
      </c>
      <c r="C10" s="9" t="inlineStr">
        <is>
          <t>어떤 수식이 냈나</t>
        </is>
      </c>
      <c r="D10" s="9" t="inlineStr">
        <is>
          <t>무슨 뜻인가</t>
        </is>
      </c>
      <c r="E10" s="9" t="inlineStr">
        <is>
          <t>현장에서 흔한 원인</t>
        </is>
      </c>
    </row>
    <row r="11" ht="22" customHeight="1">
      <c r="A11" s="15" t="e">
        <v>#DIV/0!</v>
      </c>
      <c r="B11" s="16">
        <f>100/B7</f>
        <v/>
      </c>
      <c r="C11" s="17" t="inlineStr">
        <is>
          <t>=100/B7</t>
        </is>
      </c>
      <c r="D11" s="10" t="inlineStr">
        <is>
          <t>0 또는 빈 칸으로 나눴다</t>
        </is>
      </c>
      <c r="E11" s="10" t="inlineStr">
        <is>
          <t>생산량이 0인 날 불량률을 계산할 때</t>
        </is>
      </c>
    </row>
    <row r="12" ht="22" customHeight="1">
      <c r="A12" s="15" t="e">
        <v>#N/A</v>
      </c>
      <c r="B12" s="16">
        <f>VLOOKUP("없는코드",A6:B8,2,FALSE)</f>
        <v/>
      </c>
      <c r="C12" s="17" t="inlineStr">
        <is>
          <t>=VLOOKUP("없는코드",A6:B8,2,FALSE)</t>
        </is>
      </c>
      <c r="D12" s="10" t="inlineStr">
        <is>
          <t>찾는 값이 표에 없다</t>
        </is>
      </c>
      <c r="E12" s="10" t="inlineStr">
        <is>
          <t>자재코드 오타 · 앞뒤 공백</t>
        </is>
      </c>
    </row>
    <row r="13" ht="22" customHeight="1">
      <c r="A13" s="15" t="e">
        <v>#VALUE!</v>
      </c>
      <c r="B13" s="16">
        <f>"수량"+1</f>
        <v/>
      </c>
      <c r="C13" s="17" t="inlineStr">
        <is>
          <t>="수량"+1</t>
        </is>
      </c>
      <c r="D13" s="10" t="inlineStr">
        <is>
          <t>숫자 자리에 글자가 들어갔다</t>
        </is>
      </c>
      <c r="E13" s="10" t="inlineStr">
        <is>
          <t>숫자처럼 보이지만 실은 글자인 칸</t>
        </is>
      </c>
    </row>
    <row r="14" ht="22" customHeight="1">
      <c r="A14" s="15" t="e">
        <v>#NAME?</v>
      </c>
      <c r="B14" s="16">
        <f>SUMM(B6:B8)</f>
        <v/>
      </c>
      <c r="C14" s="17" t="inlineStr">
        <is>
          <t>=SUMM(B6:B8)</t>
        </is>
      </c>
      <c r="D14" s="10" t="inlineStr">
        <is>
          <t>함수 이름·이름정의를 못 알아본다</t>
        </is>
      </c>
      <c r="E14" s="10" t="inlineStr">
        <is>
          <t>함수 철자 오타 · 문자에 따옴표 빠짐</t>
        </is>
      </c>
    </row>
    <row r="15" ht="22" customHeight="1">
      <c r="A15" s="15" t="e">
        <v>#NUM!</v>
      </c>
      <c r="B15" s="16">
        <f>SQRT(-1)</f>
        <v/>
      </c>
      <c r="C15" s="17" t="inlineStr">
        <is>
          <t>=SQRT(-1)</t>
        </is>
      </c>
      <c r="D15" s="10" t="inlineStr">
        <is>
          <t>계산이 불가능한 숫자</t>
        </is>
      </c>
      <c r="E15" s="10" t="inlineStr">
        <is>
          <t>음수의 제곱근 · 결과가 너무 큼</t>
        </is>
      </c>
    </row>
    <row r="16" ht="22" customHeight="1">
      <c r="A16" s="15" t="e">
        <v>#REF!</v>
      </c>
      <c r="B16" s="16">
        <f>INDEX(B6:B8,9)</f>
        <v/>
      </c>
      <c r="C16" s="17" t="inlineStr">
        <is>
          <t>=INDEX(B6:B8,9)</t>
        </is>
      </c>
      <c r="D16" s="10" t="inlineStr">
        <is>
          <t>가리키던 셀이 사라졌다</t>
        </is>
      </c>
      <c r="E16" s="10" t="inlineStr">
        <is>
          <t>참조하던 행·열·시트를 지웠을 때</t>
        </is>
      </c>
    </row>
    <row r="17" ht="22" customHeight="1">
      <c r="A17" s="15" t="e">
        <v>#NULL!</v>
      </c>
      <c r="B17" s="16">
        <f>SUM(A6:A8 D6:D8)</f>
        <v/>
      </c>
      <c r="C17" s="17" t="inlineStr">
        <is>
          <t>=SUM(A6:A8 D6:D8)</t>
        </is>
      </c>
      <c r="D17" s="10" t="inlineStr">
        <is>
          <t>두 범위가 겹치는 곳이 없다</t>
        </is>
      </c>
      <c r="E17" s="10" t="inlineStr">
        <is>
          <t>범위 사이 쉼표를 빠뜨리고 공백만 둠</t>
        </is>
      </c>
    </row>
    <row r="19" ht="30" customHeight="1">
      <c r="A19" s="6" t="inlineStr">
        <is>
          <t>IFERROR(수식, "대체값") 로 감싸면 오류 대신 원하는 글자가 나옵니다. 아래 칸이 그 예입니다.</t>
        </is>
      </c>
    </row>
    <row r="20">
      <c r="A20" s="18" t="inlineStr">
        <is>
          <t>오류를 감싸면</t>
        </is>
      </c>
      <c r="B20" s="19">
        <f>IFERROR(100/B7,"측정불가")</f>
        <v/>
      </c>
      <c r="C20" s="17" t="inlineStr">
        <is>
          <t>=IFERROR(100/B7,"측정불가")</t>
        </is>
      </c>
    </row>
  </sheetData>
  <mergeCells count="3">
    <mergeCell ref="A2:E2"/>
    <mergeCell ref="A1:E1"/>
    <mergeCell ref="A19:E19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6" customWidth="1" min="3" max="3"/>
    <col width="50" customWidth="1" min="4" max="4"/>
  </cols>
  <sheetData>
    <row r="1" ht="26" customHeight="1">
      <c r="A1" s="5" t="inlineStr">
        <is>
          <t>표시 형식 — 값은 그대로, 보이는 모양만 바뀐다</t>
        </is>
      </c>
    </row>
    <row r="2" ht="30" customHeight="1">
      <c r="A2" s="6" t="inlineStr">
        <is>
          <t>B열은 A열과 값이 똑같습니다. 서식만 다릅니다. 수식 입력줄을 보면 원래 값이 그대로 들어 있습니다.</t>
        </is>
      </c>
    </row>
    <row r="4" ht="24" customHeight="1">
      <c r="A4" s="9" t="inlineStr">
        <is>
          <t>원래 값</t>
        </is>
      </c>
      <c r="B4" s="9" t="inlineStr">
        <is>
          <t>서식을 준 모습</t>
        </is>
      </c>
      <c r="C4" s="9" t="inlineStr">
        <is>
          <t>서식 코드</t>
        </is>
      </c>
      <c r="D4" s="9" t="inlineStr">
        <is>
          <t>언제 쓰나</t>
        </is>
      </c>
    </row>
    <row r="5">
      <c r="A5" s="20" t="n">
        <v>1234567</v>
      </c>
      <c r="B5" s="12" t="n">
        <v>1234567</v>
      </c>
      <c r="C5" s="21" t="inlineStr">
        <is>
          <t>#,##0</t>
        </is>
      </c>
      <c r="D5" s="20" t="inlineStr">
        <is>
          <t>천 단위 쉼표</t>
        </is>
      </c>
    </row>
    <row r="6">
      <c r="A6" s="20" t="n">
        <v>1234567</v>
      </c>
      <c r="B6" s="22" t="n">
        <v>1234567</v>
      </c>
      <c r="C6" s="21" t="inlineStr">
        <is>
          <t>#,##0,"천원"</t>
        </is>
      </c>
      <c r="D6" s="20" t="inlineStr">
        <is>
          <t>천 원 단위로 줄여 보이기 (생산 실적표)</t>
        </is>
      </c>
    </row>
    <row r="7">
      <c r="A7" s="20" t="n">
        <v>0.0857</v>
      </c>
      <c r="B7" s="23" t="n">
        <v>0.0857</v>
      </c>
      <c r="C7" s="21" t="inlineStr">
        <is>
          <t>0.0%</t>
        </is>
      </c>
      <c r="D7" s="20" t="inlineStr">
        <is>
          <t>불량률 · 달성률</t>
        </is>
      </c>
    </row>
    <row r="8">
      <c r="A8" s="20" t="n">
        <v>0.0857</v>
      </c>
      <c r="B8" s="24" t="n">
        <v>0.0857</v>
      </c>
      <c r="C8" s="21" t="inlineStr">
        <is>
          <t>0.00E+00</t>
        </is>
      </c>
      <c r="D8" s="20" t="inlineStr">
        <is>
          <t>아주 작은/큰 수 (지수)</t>
        </is>
      </c>
    </row>
    <row r="9">
      <c r="A9" s="20" t="n">
        <v>45719</v>
      </c>
      <c r="B9" s="25" t="n">
        <v>45719</v>
      </c>
      <c r="C9" s="21" t="inlineStr">
        <is>
          <t>yyyy-mm-dd(aaa)</t>
        </is>
      </c>
      <c r="D9" s="20" t="inlineStr">
        <is>
          <t>날짜에 요일까지 (점검일지)</t>
        </is>
      </c>
    </row>
    <row r="10">
      <c r="A10" s="20" t="n">
        <v>45719</v>
      </c>
      <c r="B10" s="26" t="n">
        <v>45719</v>
      </c>
      <c r="C10" s="21" t="inlineStr">
        <is>
          <t>mm"월" dd"일"</t>
        </is>
      </c>
      <c r="D10" s="20" t="inlineStr">
        <is>
          <t>한글 날짜</t>
        </is>
      </c>
    </row>
    <row r="11">
      <c r="A11" s="20" t="n">
        <v>0.5208</v>
      </c>
      <c r="B11" s="27" t="n">
        <v>0.5208</v>
      </c>
      <c r="C11" s="21" t="inlineStr">
        <is>
          <t>h:mm AM/PM</t>
        </is>
      </c>
      <c r="D11" s="20" t="inlineStr">
        <is>
          <t>시각 (교대 근무표)</t>
        </is>
      </c>
    </row>
    <row r="12">
      <c r="A12" s="20" t="n">
        <v>-3500</v>
      </c>
      <c r="B12" s="28" t="n">
        <v>-3500</v>
      </c>
      <c r="C12" s="21" t="inlineStr">
        <is>
          <t>#,##0;[Red]-#,##0</t>
        </is>
      </c>
      <c r="D12" s="20" t="inlineStr">
        <is>
          <t>음수를 빨강으로 (재고 부족)</t>
        </is>
      </c>
    </row>
    <row r="13">
      <c r="A13" s="20" t="n">
        <v>0</v>
      </c>
      <c r="B13" s="29" t="n">
        <v>0</v>
      </c>
      <c r="C13" s="21" t="inlineStr">
        <is>
          <t>#,##0;-#,##0;"-"</t>
        </is>
      </c>
      <c r="D13" s="20" t="inlineStr">
        <is>
          <t>0 을 대시로 (빈 실적)</t>
        </is>
      </c>
    </row>
    <row r="14">
      <c r="A14" s="20" t="inlineStr">
        <is>
          <t>SF1023</t>
        </is>
      </c>
      <c r="B14" s="30" t="inlineStr">
        <is>
          <t>SF1023</t>
        </is>
      </c>
      <c r="C14" s="21" t="inlineStr">
        <is>
          <t>@"-A"</t>
        </is>
      </c>
      <c r="D14" s="20" t="inlineStr">
        <is>
          <t>글자 뒤에 고정 문자 붙이기</t>
        </is>
      </c>
    </row>
    <row r="16" ht="30" customHeight="1">
      <c r="A16" s="6" t="inlineStr">
        <is>
          <t>직접 해보기 → B열 아무 칸에서 Ctrl+1 (셀 서식) → 사용자 지정 을 열면 C열 코드가 그대로 들어 있습니다.</t>
        </is>
      </c>
    </row>
  </sheetData>
  <mergeCells count="3">
    <mergeCell ref="A1:D1"/>
    <mergeCell ref="A16:D16"/>
    <mergeCell ref="A2:D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  <col width="44" customWidth="1" min="4" max="4"/>
  </cols>
  <sheetData>
    <row r="1" ht="26" customHeight="1">
      <c r="A1" s="5" t="inlineStr">
        <is>
          <t>연산자와 우선순위</t>
        </is>
      </c>
    </row>
    <row r="3">
      <c r="A3" s="7" t="inlineStr">
        <is>
          <t>샘플 값</t>
        </is>
      </c>
      <c r="B3" s="7" t="inlineStr">
        <is>
          <t>계획</t>
        </is>
      </c>
      <c r="C3" s="7" t="inlineStr">
        <is>
          <t>실적</t>
        </is>
      </c>
    </row>
    <row r="4">
      <c r="A4" s="10" t="inlineStr">
        <is>
          <t>수량</t>
        </is>
      </c>
      <c r="B4" s="10" t="n">
        <v>500</v>
      </c>
      <c r="C4" s="10" t="n">
        <v>460</v>
      </c>
    </row>
    <row r="6" ht="24" customHeight="1">
      <c r="A6" s="9" t="inlineStr">
        <is>
          <t>수식</t>
        </is>
      </c>
      <c r="B6" s="9" t="inlineStr">
        <is>
          <t>결과</t>
        </is>
      </c>
      <c r="C6" s="9" t="inlineStr">
        <is>
          <t>종류</t>
        </is>
      </c>
      <c r="D6" s="9" t="inlineStr">
        <is>
          <t>설명</t>
        </is>
      </c>
    </row>
    <row r="7">
      <c r="A7" s="17" t="inlineStr">
        <is>
          <t>=2+3*4</t>
        </is>
      </c>
      <c r="B7" s="31">
        <f>2+3*4</f>
        <v/>
      </c>
      <c r="C7" s="10" t="inlineStr">
        <is>
          <t>산술</t>
        </is>
      </c>
      <c r="D7" s="10" t="inlineStr">
        <is>
          <t>곱하기가 먼저. 결과 14</t>
        </is>
      </c>
    </row>
    <row r="8">
      <c r="A8" s="17" t="inlineStr">
        <is>
          <t>=(2+3)*4</t>
        </is>
      </c>
      <c r="B8" s="31">
        <f>(2+3)*4</f>
        <v/>
      </c>
      <c r="C8" s="10" t="inlineStr">
        <is>
          <t>산술</t>
        </is>
      </c>
      <c r="D8" s="10" t="inlineStr">
        <is>
          <t>괄호가 가장 먼저. 결과 20</t>
        </is>
      </c>
    </row>
    <row r="9">
      <c r="A9" s="17" t="inlineStr">
        <is>
          <t>=2^3</t>
        </is>
      </c>
      <c r="B9" s="31">
        <f>2^3</f>
        <v/>
      </c>
      <c r="C9" s="10" t="inlineStr">
        <is>
          <t>산술</t>
        </is>
      </c>
      <c r="D9" s="10" t="inlineStr">
        <is>
          <t>거듭제곱. 우선순위는 곱하기보다 위</t>
        </is>
      </c>
    </row>
    <row r="10">
      <c r="A10" s="17" t="inlineStr">
        <is>
          <t>=C4/B4</t>
        </is>
      </c>
      <c r="B10" s="31">
        <f>C4/B4</f>
        <v/>
      </c>
      <c r="C10" s="10" t="inlineStr">
        <is>
          <t>산술</t>
        </is>
      </c>
      <c r="D10" s="10" t="inlineStr">
        <is>
          <t>달성률 (실적/계획)</t>
        </is>
      </c>
    </row>
    <row r="11">
      <c r="A11" s="17" t="inlineStr">
        <is>
          <t>=C4&gt;=B4</t>
        </is>
      </c>
      <c r="B11" s="31">
        <f>C4&gt;=B4</f>
        <v/>
      </c>
      <c r="C11" s="10" t="inlineStr">
        <is>
          <t>비교</t>
        </is>
      </c>
      <c r="D11" s="10" t="inlineStr">
        <is>
          <t>참·거짓(TRUE/FALSE)으로 나옴</t>
        </is>
      </c>
    </row>
    <row r="12">
      <c r="A12" s="17" t="inlineStr">
        <is>
          <t>=C4&lt;&gt;B4</t>
        </is>
      </c>
      <c r="B12" s="31">
        <f>C4&lt;&gt;B4</f>
        <v/>
      </c>
      <c r="C12" s="10" t="inlineStr">
        <is>
          <t>비교</t>
        </is>
      </c>
      <c r="D12" s="10" t="inlineStr">
        <is>
          <t>같지 않다</t>
        </is>
      </c>
    </row>
    <row r="13">
      <c r="A13" s="17" t="inlineStr">
        <is>
          <t>=B4&amp;"개 계획"</t>
        </is>
      </c>
      <c r="B13" s="31">
        <f>B4&amp;"개 계획"</f>
        <v/>
      </c>
      <c r="C13" s="10" t="inlineStr">
        <is>
          <t>문자열</t>
        </is>
      </c>
      <c r="D13" s="10" t="inlineStr">
        <is>
          <t>&amp; 로 글자를 이어 붙임</t>
        </is>
      </c>
    </row>
    <row r="14">
      <c r="A14" s="17" t="inlineStr">
        <is>
          <t>="달성률 "&amp;TEXT(C4/B4,"0.0%")</t>
        </is>
      </c>
      <c r="B14" s="31">
        <f>"달성률 "&amp;TEXT(C4/B4,"0.0%")</f>
        <v/>
      </c>
      <c r="C14" s="10" t="inlineStr">
        <is>
          <t>문자열</t>
        </is>
      </c>
      <c r="D14" s="10" t="inlineStr">
        <is>
          <t>숫자에 서식을 입혀 글자로 붙이기</t>
        </is>
      </c>
    </row>
    <row r="15">
      <c r="A15" s="17" t="inlineStr">
        <is>
          <t>=SUM(B4:C4)</t>
        </is>
      </c>
      <c r="B15" s="31">
        <f>SUM(B4:C4)</f>
        <v/>
      </c>
      <c r="C15" s="10" t="inlineStr">
        <is>
          <t>참조(:)</t>
        </is>
      </c>
      <c r="D15" s="10" t="inlineStr">
        <is>
          <t>범위 — B4 부터 C4 까지</t>
        </is>
      </c>
    </row>
    <row r="16">
      <c r="A16" s="17" t="inlineStr">
        <is>
          <t>=SUM(B4,C4)</t>
        </is>
      </c>
      <c r="B16" s="31">
        <f>SUM(B4,C4)</f>
        <v/>
      </c>
      <c r="C16" s="10" t="inlineStr">
        <is>
          <t>참조(,)</t>
        </is>
      </c>
      <c r="D16" s="10" t="inlineStr">
        <is>
          <t>여러 곳을 합침</t>
        </is>
      </c>
    </row>
    <row r="18" ht="30" customHeight="1">
      <c r="A18" s="6" t="inlineStr">
        <is>
          <t>우선순위 :  ( )  →  ^  →  * /  →  + -  →  &amp;  →  비교( = &lt; &gt; &lt;= &gt;= &lt;&gt; )</t>
        </is>
      </c>
    </row>
  </sheetData>
  <mergeCells count="2">
    <mergeCell ref="A1:D1"/>
    <mergeCell ref="A18:D18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3" customWidth="1" min="5" max="5"/>
    <col width="52" customWidth="1" min="6" max="6"/>
  </cols>
  <sheetData>
    <row r="1" ht="26" customHeight="1">
      <c r="A1" s="5" t="inlineStr">
        <is>
          <t>이름 정의 — 범위에 별명 붙이기</t>
        </is>
      </c>
    </row>
    <row r="2" ht="30" customHeight="1">
      <c r="A2" s="6" t="inlineStr">
        <is>
          <t>범위를 잡고 [수식] → [이름 정의]. 수식이 =SUM(B5:B10) 대신 =SUM(생산량) 이 되어 읽기 쉬워집니다.</t>
        </is>
      </c>
    </row>
    <row r="4" ht="24" customHeight="1">
      <c r="A4" s="9" t="inlineStr">
        <is>
          <t>일자</t>
        </is>
      </c>
      <c r="B4" s="9" t="inlineStr">
        <is>
          <t>생산량</t>
        </is>
      </c>
      <c r="C4" s="9" t="inlineStr">
        <is>
          <t>불량수</t>
        </is>
      </c>
      <c r="D4" s="9" t="inlineStr">
        <is>
          <t>가동시간</t>
        </is>
      </c>
      <c r="F4" s="32" t="inlineStr">
        <is>
          <t>이미 정의해 둔 이름 : 생산량(B5:B9) · 불량수(C5:C9)</t>
        </is>
      </c>
    </row>
    <row r="5">
      <c r="A5" s="10" t="inlineStr">
        <is>
          <t>3/2</t>
        </is>
      </c>
      <c r="B5" s="10" t="n">
        <v>460</v>
      </c>
      <c r="C5" s="10" t="n">
        <v>7</v>
      </c>
      <c r="D5" s="10" t="n">
        <v>7.5</v>
      </c>
      <c r="F5" s="32" t="inlineStr">
        <is>
          <t>[수식] → [이름 관리자] 에서 확인할 수 있습니다.</t>
        </is>
      </c>
    </row>
    <row r="6">
      <c r="A6" s="10" t="inlineStr">
        <is>
          <t>3/3</t>
        </is>
      </c>
      <c r="B6" s="10" t="n">
        <v>512</v>
      </c>
      <c r="C6" s="10" t="n">
        <v>4</v>
      </c>
      <c r="D6" s="10" t="n">
        <v>8</v>
      </c>
    </row>
    <row r="7">
      <c r="A7" s="10" t="inlineStr">
        <is>
          <t>3/4</t>
        </is>
      </c>
      <c r="B7" s="10" t="n">
        <v>488</v>
      </c>
      <c r="C7" s="10" t="n">
        <v>11</v>
      </c>
      <c r="D7" s="10" t="n">
        <v>7.8</v>
      </c>
      <c r="F7" s="33" t="inlineStr">
        <is>
          <t>직접 해보기 : D5:D9 를 잡고 이름을 '가동시간' 으로 정의한 뒤</t>
        </is>
      </c>
    </row>
    <row r="8">
      <c r="A8" s="10" t="inlineStr">
        <is>
          <t>3/5</t>
        </is>
      </c>
      <c r="B8" s="10" t="n">
        <v>505</v>
      </c>
      <c r="C8" s="10" t="n">
        <v>6</v>
      </c>
      <c r="D8" s="10" t="n">
        <v>8</v>
      </c>
      <c r="F8" s="33" t="inlineStr">
        <is>
          <t>아래 노란 칸에 =AVERAGE(가동시간) 을 입력해 보세요.</t>
        </is>
      </c>
    </row>
    <row r="9">
      <c r="A9" s="10" t="inlineStr">
        <is>
          <t>3/6</t>
        </is>
      </c>
      <c r="B9" s="10" t="n">
        <v>473</v>
      </c>
      <c r="C9" s="10" t="n">
        <v>9</v>
      </c>
      <c r="D9" s="10" t="n">
        <v>7.2</v>
      </c>
    </row>
    <row r="10">
      <c r="A10" s="34" t="inlineStr">
        <is>
          <t>합계</t>
        </is>
      </c>
      <c r="B10" s="20">
        <f>SUM(생산량)</f>
        <v/>
      </c>
    </row>
    <row r="11">
      <c r="A11" s="34" t="inlineStr">
        <is>
          <t>평균 불량수</t>
        </is>
      </c>
      <c r="B11" s="20">
        <f>AVERAGE(불량수)</f>
        <v/>
      </c>
    </row>
    <row r="12">
      <c r="A12" s="34" t="inlineStr">
        <is>
          <t>총 불량률</t>
        </is>
      </c>
      <c r="B12" s="35">
        <f>SUM(불량수)/SUM(생산량)</f>
        <v/>
      </c>
    </row>
    <row r="14">
      <c r="A14" s="34" t="inlineStr">
        <is>
          <t>평균 가동시간</t>
        </is>
      </c>
      <c r="B14" s="36" t="n"/>
    </row>
  </sheetData>
  <mergeCells count="2"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46" customWidth="1" min="6" max="6"/>
  </cols>
  <sheetData>
    <row r="1" ht="26" customHeight="1">
      <c r="A1" s="5" t="inlineStr">
        <is>
          <t>채우기 핸들 — 끌면 무엇이 늘어나는가</t>
        </is>
      </c>
    </row>
    <row r="2" ht="30" customHeight="1">
      <c r="A2" s="6" t="inlineStr">
        <is>
          <t>칸 오른쪽 아래 작은 네모(채우기 핸들)를 오른쪽으로 끌어 보세요. 노란 칸이 채워집니다.</t>
        </is>
      </c>
    </row>
    <row r="4" ht="24" customHeight="1">
      <c r="A4" s="9" t="inlineStr">
        <is>
          <t>시작 값</t>
        </is>
      </c>
      <c r="B4" s="9" t="inlineStr">
        <is>
          <t>끌면?</t>
        </is>
      </c>
      <c r="C4" s="9" t="inlineStr"/>
      <c r="D4" s="9" t="inlineStr"/>
      <c r="E4" s="9" t="inlineStr"/>
      <c r="F4" s="9" t="inlineStr">
        <is>
          <t>이렇게 됩니다</t>
        </is>
      </c>
    </row>
    <row r="5">
      <c r="A5" s="37" t="inlineStr">
        <is>
          <t>1반</t>
        </is>
      </c>
      <c r="B5" s="36" t="n"/>
      <c r="C5" s="36" t="n"/>
      <c r="D5" s="36" t="n"/>
      <c r="E5" s="36" t="n"/>
      <c r="F5" s="33" t="inlineStr">
        <is>
          <t>1반 → 2반 → 3반 … 숫자가 붙은 글자는 숫자가 늘어남</t>
        </is>
      </c>
    </row>
    <row r="6">
      <c r="A6" s="37" t="n">
        <v>1</v>
      </c>
      <c r="B6" s="36" t="n"/>
      <c r="C6" s="36" t="n"/>
      <c r="D6" s="36" t="n"/>
      <c r="E6" s="36" t="n"/>
      <c r="F6" s="33" t="inlineStr">
        <is>
          <t>숫자 하나만 끌면 그대로 복사. Ctrl 을 누른 채 끌면 1씩 증가</t>
        </is>
      </c>
    </row>
    <row r="7">
      <c r="A7" s="37" t="inlineStr">
        <is>
          <t>월</t>
        </is>
      </c>
      <c r="B7" s="36" t="n"/>
      <c r="C7" s="36" t="n"/>
      <c r="D7" s="36" t="n"/>
      <c r="E7" s="36" t="n"/>
      <c r="F7" s="33" t="inlineStr">
        <is>
          <t>월 → 화 → 수 … 요일은 엑셀이 알고 있는 목록</t>
        </is>
      </c>
    </row>
    <row r="8">
      <c r="A8" s="37" t="inlineStr">
        <is>
          <t>1월</t>
        </is>
      </c>
      <c r="B8" s="36" t="n"/>
      <c r="C8" s="36" t="n"/>
      <c r="D8" s="36" t="n"/>
      <c r="E8" s="36" t="n"/>
      <c r="F8" s="33" t="inlineStr">
        <is>
          <t xml:space="preserve">1월 → 2월 → 3월 … </t>
        </is>
      </c>
    </row>
    <row r="9">
      <c r="A9" s="37" t="inlineStr">
        <is>
          <t>A공정-01</t>
        </is>
      </c>
      <c r="B9" s="36" t="n"/>
      <c r="C9" s="36" t="n"/>
      <c r="D9" s="36" t="n"/>
      <c r="E9" s="36" t="n"/>
      <c r="F9" s="33" t="inlineStr">
        <is>
          <t>A공정-01 → A공정-02 … 맨 끝 숫자가 늘어남</t>
        </is>
      </c>
    </row>
    <row r="11">
      <c r="A11" s="37" t="inlineStr">
        <is>
          <t>10</t>
        </is>
      </c>
      <c r="B11" s="37" t="inlineStr">
        <is>
          <t>20</t>
        </is>
      </c>
      <c r="C11" s="36" t="n"/>
      <c r="D11" s="36" t="n"/>
      <c r="E11" s="36" t="n"/>
      <c r="F11" s="33" t="inlineStr">
        <is>
          <t>두 칸을 함께 잡고 끌면 그 간격(10씩)으로 늘어납니다.</t>
        </is>
      </c>
    </row>
  </sheetData>
  <mergeCells count="2"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2026-09-21T03:25:59Z</dcterms:created>
  <dcterms:modified xmlns:dcterms="http://purl.org/dc/terms/" xmlns:xsi="http://www.w3.org/2001/XMLSchema-instance" xsi:type="dcterms:W3CDTF">2026-09-21T03:25:59Z</dcterms:modified>
</cp:coreProperties>
</file>