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따라하기" sheetId="2" state="visible" r:id="rId2"/>
    <sheet xmlns:r="http://schemas.openxmlformats.org/officeDocument/2006/relationships" name="생산일보" sheetId="3" state="visible" r:id="rId3"/>
    <sheet xmlns:r="http://schemas.openxmlformats.org/officeDocument/2006/relationships" name="DB함수" sheetId="4" state="visible" r:id="rId4"/>
    <sheet xmlns:r="http://schemas.openxmlformats.org/officeDocument/2006/relationships" name="함수사전" sheetId="5" state="visible" r:id="rId5"/>
    <sheet xmlns:r="http://schemas.openxmlformats.org/officeDocument/2006/relationships" name="정답·해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9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4"/>
    </font>
    <font>
      <b val="1"/>
      <color rgb="00FFFFFF"/>
      <sz val="12"/>
    </font>
    <font>
      <b val="1"/>
      <color rgb="00C55A11"/>
      <sz val="10"/>
    </font>
    <font>
      <b val="1"/>
      <color rgb="00C55A11"/>
      <sz val="10.5"/>
    </font>
    <font>
      <b val="1"/>
      <color rgb="002E5C8A"/>
      <sz val="10"/>
    </font>
    <font>
      <sz val="10.5"/>
    </font>
    <font>
      <color rgb="007F7F7F"/>
      <sz val="10"/>
    </font>
    <font>
      <b val="1"/>
      <color rgb="00006100"/>
      <sz val="10"/>
    </font>
    <font>
      <color rgb="00006100"/>
      <sz val="10.5"/>
    </font>
    <font>
      <b val="1"/>
      <color rgb="001F3864"/>
      <sz val="15"/>
    </font>
    <font>
      <b val="1"/>
      <color rgb="00FFFFFF"/>
      <sz val="11"/>
    </font>
    <font>
      <i val="1"/>
      <color rgb="00A6A6A6"/>
    </font>
    <font>
      <b val="1"/>
      <color rgb="002E5C8A"/>
    </font>
    <font>
      <b val="1"/>
      <color rgb="001F4E79"/>
      <sz val="10"/>
    </font>
    <font>
      <b val="1"/>
      <color rgb="002E5C8A"/>
      <sz val="10.5"/>
    </font>
    <font>
      <b val="1"/>
      <sz val="10"/>
    </font>
    <font>
      <b val="1"/>
      <color rgb="00C55A11"/>
      <sz val="11.5"/>
    </font>
    <font>
      <name val="Consolas"/>
      <b val="1"/>
      <color rgb="001F4E79"/>
      <sz val="10.5"/>
    </font>
    <font>
      <sz val="10"/>
    </font>
    <font>
      <name val="Consolas"/>
      <sz val="10"/>
    </font>
    <font>
      <b val="1"/>
      <color rgb="00006100"/>
    </font>
    <font>
      <b val="1"/>
      <color rgb="00FFFFFF"/>
      <sz val="11.5"/>
    </font>
    <font>
      <b val="1"/>
      <color rgb="00C55A11"/>
    </font>
    <font>
      <name val="Consolas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EBF7EE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7EEF8"/>
      </patternFill>
    </fill>
    <fill>
      <patternFill patternType="solid">
        <fgColor rgb="007B4FBF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/>
    </xf>
    <xf numFmtId="0" fontId="13" fillId="4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2" fontId="16" fillId="5" borderId="1" applyAlignment="1" pivotButton="0" quotePrefix="0" xfId="0">
      <alignment horizontal="center" vertical="center"/>
    </xf>
    <xf numFmtId="3" fontId="16" fillId="5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8" borderId="0" applyAlignment="1" pivotButton="0" quotePrefix="0" xfId="0">
      <alignment vertical="center"/>
    </xf>
    <xf numFmtId="0" fontId="1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0" fillId="0" borderId="1" applyAlignment="1" pivotButton="0" quotePrefix="0" xfId="0">
      <alignment horizontal="center" vertical="center"/>
    </xf>
    <xf numFmtId="10" fontId="16" fillId="5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horizontal="center" vertical="center"/>
    </xf>
    <xf numFmtId="0" fontId="26" fillId="6" borderId="0" applyAlignment="1" pivotButton="0" quotePrefix="0" xfId="0">
      <alignment vertical="center"/>
    </xf>
    <xf numFmtId="0" fontId="27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3" fillId="9" borderId="1" applyAlignment="1" pivotButton="0" quotePrefix="0" xfId="0">
      <alignment vertical="center" wrapText="1"/>
    </xf>
    <xf numFmtId="0" fontId="28" fillId="9" borderId="1" applyAlignment="1" pivotButton="0" quotePrefix="0" xfId="0">
      <alignment vertical="center" wrapText="1"/>
    </xf>
    <xf numFmtId="0" fontId="25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① 계산작업 — 생산일보로 함수 연습하기</t>
        </is>
      </c>
    </row>
    <row r="3" ht="19" customHeight="1">
      <c r="B3" s="2" t="inlineStr"/>
    </row>
    <row r="4" ht="19" customHeight="1">
      <c r="B4" s="2" t="inlineStr">
        <is>
          <t>라인별 하루 생산 실적 25일치입니다. 노란 칸을 함수로 채우면 됩니다.</t>
        </is>
      </c>
    </row>
    <row r="5" ht="19" customHeight="1">
      <c r="B5" s="2" t="inlineStr"/>
    </row>
    <row r="6" ht="24" customHeight="1">
      <c r="B6" s="3" t="inlineStr">
        <is>
          <t>이 파일을 푸는 법 — 세 가지만 기억하세요</t>
        </is>
      </c>
    </row>
    <row r="7" ht="19" customHeight="1">
      <c r="B7" s="2" t="inlineStr">
        <is>
          <t>① 노란 칸에는 0 이 들어 있습니다. 그 0 을 지우고 = 로 시작하는 수식을 넣습니다.</t>
        </is>
      </c>
    </row>
    <row r="8" ht="19" customHeight="1">
      <c r="B8" s="2" t="inlineStr">
        <is>
          <t>② 문제 왼쪽의  ▶F40  같은 표시가 '답을 넣을 칸' 입니다. 그 칸에 넣으세요.</t>
        </is>
      </c>
    </row>
    <row r="9" ht="19" customHeight="1">
      <c r="B9" s="2" t="inlineStr">
        <is>
          <t>③ 넣고 나면 오른쪽 [채점] 칸이 스스로 ✔ 맞음 / ✘ 다시 로 바뀝니다.</t>
        </is>
      </c>
    </row>
    <row r="10" ht="19" customHeight="1">
      <c r="B10" s="2" t="inlineStr"/>
    </row>
    <row r="11" ht="24" customHeight="1">
      <c r="B11" s="3" t="inlineStr">
        <is>
          <t>시트 안내</t>
        </is>
      </c>
    </row>
    <row r="12" ht="19" customHeight="1">
      <c r="B12" s="2" t="inlineStr">
        <is>
          <t>따라하기   — 수식을 처음 넣어 보는 사람이 먼저 볼 것 (4가지 기본 동작)</t>
        </is>
      </c>
    </row>
    <row r="13" ht="19" customHeight="1">
      <c r="B13" s="2" t="inlineStr">
        <is>
          <t>생산일보   — 표의 노란 열 5개(J~N) + 아래쪽 집계 39문제</t>
        </is>
      </c>
    </row>
    <row r="14" ht="19" customHeight="1">
      <c r="B14" s="2" t="inlineStr">
        <is>
          <t>DB함수     — 조건 표를 만들어 쓰는 DSUM·DAVERAGE·DCOUNT·DMAX·DMIN 10문제</t>
        </is>
      </c>
    </row>
    <row r="15" ht="19" customHeight="1">
      <c r="B15" s="2" t="inlineStr">
        <is>
          <t>함수사전   — 이 파일에 나오는 함수 50여 개의 형식·예시·자주 하는 실수</t>
        </is>
      </c>
    </row>
    <row r="16" ht="19" customHeight="1">
      <c r="B16" s="2" t="inlineStr">
        <is>
          <t>정답·해설  — 어느 칸에 무엇을 넣어야 하는지 · 정답값 · 왜 그런지</t>
        </is>
      </c>
    </row>
    <row r="17" ht="19" customHeight="1">
      <c r="B17" s="2" t="inlineStr"/>
    </row>
    <row r="18" ht="24" customHeight="1">
      <c r="B18" s="3" t="inlineStr">
        <is>
          <t>연습 범위 (2급 출제 함수)</t>
        </is>
      </c>
    </row>
    <row r="19" ht="19" customHeight="1">
      <c r="B19" s="2" t="inlineStr">
        <is>
          <t>논리 IF AND OR NOT IFERROR · 통계 SUM AVERAGE MAX MIN LARGE SMALL MEDIAN RANK.EQ</t>
        </is>
      </c>
    </row>
    <row r="20" ht="19" customHeight="1">
      <c r="B20" s="2" t="inlineStr">
        <is>
          <t>개수 COUNT COUNTA COUNTBLANK COUNTIF · 조건부 SUMIF AVERAGEIF</t>
        </is>
      </c>
    </row>
    <row r="21" ht="19" customHeight="1">
      <c r="B21" s="2" t="inlineStr">
        <is>
          <t>반올림 ROUND ROUNDUP ROUNDDOWN TRUNC INT MOD ABS POWER</t>
        </is>
      </c>
    </row>
    <row r="22" ht="19" customHeight="1">
      <c r="B22" s="2" t="inlineStr">
        <is>
          <t>문자열 LEFT RIGHT MID LEN TRIM UPPER LOWER &amp; · 찾기 VLOOKUP HLOOKUP INDEX MATCH CHOOSE</t>
        </is>
      </c>
    </row>
    <row r="23" ht="19" customHeight="1">
      <c r="B23" s="2" t="inlineStr">
        <is>
          <t>데이터베이스 DSUM DAVERAGE DCOUNT DCOUNTA DMAX DMIN · 날짜 YEAR MONTH DAY WEEKDAY DAYS DATE</t>
        </is>
      </c>
    </row>
    <row r="24" ht="19" customHeight="1">
      <c r="B24" s="2" t="inlineStr"/>
    </row>
    <row r="25" ht="34" customHeight="1">
      <c r="B25" s="4" t="inlineStr">
        <is>
          <t>값이 0 으로만 보이면 Ctrl + Alt + F9 (전체 다시 계산). 채점 칸이 ↖ 0 지우고 수식 이라고 하면 아직 수식이 안 들어간 것입니다.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5" t="inlineStr">
        <is>
          <t>처음이라면 — 이 네 가지만 해 보고 시작하세요</t>
        </is>
      </c>
    </row>
    <row r="2" ht="30" customHeight="1">
      <c r="A2" s="6" t="inlineStr">
        <is>
          <t>엑셀이 처음이어도 괜찮습니다. 아래 네 가지를 따라 해 보면 나머지 문제도 같은 방식입니다.</t>
        </is>
      </c>
    </row>
    <row r="4" ht="24" customHeight="1">
      <c r="A4" s="7" t="inlineStr">
        <is>
          <t xml:space="preserve">  미션 1 · 노란 칸에 수식 넣기</t>
        </is>
      </c>
    </row>
    <row r="5" ht="20" customHeight="1">
      <c r="A5" s="8" t="inlineStr">
        <is>
          <t>어디서</t>
        </is>
      </c>
      <c r="B5" s="9" t="inlineStr">
        <is>
          <t>[생산일보] 시트 J5 칸</t>
        </is>
      </c>
    </row>
    <row r="6" ht="28" customHeight="1">
      <c r="A6" s="10" t="inlineStr">
        <is>
          <t>1단계</t>
        </is>
      </c>
      <c r="B6" s="11" t="inlineStr">
        <is>
          <t>J5 칸을 한 번 클릭합니다. 그 칸에 0 이 들어 있습니다.</t>
        </is>
      </c>
      <c r="C6" s="12" t="inlineStr">
        <is>
          <t>클릭한 칸의 주소는 화면 왼쪽 위 '이름 상자' 에 나옵니다</t>
        </is>
      </c>
    </row>
    <row r="7" ht="28" customHeight="1">
      <c r="A7" s="10" t="inlineStr">
        <is>
          <t>2단계</t>
        </is>
      </c>
      <c r="B7" s="11" t="inlineStr">
        <is>
          <t>Delete 키를 눌러 0 을 지웁니다.</t>
        </is>
      </c>
      <c r="C7" s="12" t="inlineStr">
        <is>
          <t>지우지 않고 바로 = 를 쳐도 덮어써집니다</t>
        </is>
      </c>
    </row>
    <row r="8" ht="28" customHeight="1">
      <c r="A8" s="10" t="inlineStr">
        <is>
          <t>3단계</t>
        </is>
      </c>
      <c r="B8" s="11" t="inlineStr">
        <is>
          <t>= 를 치고  F5/E5*100  이라고 입력합니다.</t>
        </is>
      </c>
      <c r="C8" s="12" t="inlineStr">
        <is>
          <t>F5 는 키보드로 쳐도 되고, 마우스로 F5 칸을 눌러도 됩니다</t>
        </is>
      </c>
    </row>
    <row r="9" ht="28" customHeight="1">
      <c r="A9" s="10" t="inlineStr">
        <is>
          <t>4단계</t>
        </is>
      </c>
      <c r="B9" s="11" t="inlineStr">
        <is>
          <t>Enter 를 누릅니다.</t>
        </is>
      </c>
      <c r="C9" s="12" t="inlineStr">
        <is>
          <t>102.4 처럼 숫자가 나오면 성공입니다</t>
        </is>
      </c>
    </row>
    <row r="10" ht="26" customHeight="1">
      <c r="A10" s="13" t="inlineStr">
        <is>
          <t>확인</t>
        </is>
      </c>
      <c r="B10" s="14" t="inlineStr">
        <is>
          <t>이렇게 되면 성공 — J5 에 102.4 가 나오고, 다시 J5 를 클릭하면 위쪽 수식 줄에 =F5/E5*100 이 보입니다</t>
        </is>
      </c>
    </row>
    <row r="12" ht="24" customHeight="1">
      <c r="A12" s="7" t="inlineStr">
        <is>
          <t xml:space="preserve">  미션 2 · 만든 수식을 아래로 끌어 채우기</t>
        </is>
      </c>
    </row>
    <row r="13" ht="20" customHeight="1">
      <c r="A13" s="8" t="inlineStr">
        <is>
          <t>어디서</t>
        </is>
      </c>
      <c r="B13" s="9" t="inlineStr">
        <is>
          <t>[생산일보] 시트 J5 → J29</t>
        </is>
      </c>
    </row>
    <row r="14" ht="28" customHeight="1">
      <c r="A14" s="10" t="inlineStr">
        <is>
          <t>1단계</t>
        </is>
      </c>
      <c r="B14" s="11" t="inlineStr">
        <is>
          <t>J5 칸을 클릭합니다.</t>
        </is>
      </c>
      <c r="C14" s="12" t="inlineStr">
        <is>
          <t>칸 테두리가 굵게 표시됩니다</t>
        </is>
      </c>
    </row>
    <row r="15" ht="28" customHeight="1">
      <c r="A15" s="10" t="inlineStr">
        <is>
          <t>2단계</t>
        </is>
      </c>
      <c r="B15" s="11" t="inlineStr">
        <is>
          <t>칸 오른쪽 아래 모서리의 작은 네모(채우기 핸들) 위에 마우스를 올립니다.</t>
        </is>
      </c>
      <c r="C15" s="12" t="inlineStr">
        <is>
          <t>마우스 모양이 굵은 십자(+)로 바뀝니다</t>
        </is>
      </c>
    </row>
    <row r="16" ht="28" customHeight="1">
      <c r="A16" s="10" t="inlineStr">
        <is>
          <t>3단계</t>
        </is>
      </c>
      <c r="B16" s="11" t="inlineStr">
        <is>
          <t>그 상태로 J29 까지 아래로 끌어 내립니다.</t>
        </is>
      </c>
      <c r="C16" s="12" t="inlineStr">
        <is>
          <t>두 번 클릭하면 자료가 있는 데까지 한 번에 채워집니다</t>
        </is>
      </c>
    </row>
    <row r="17" ht="28" customHeight="1">
      <c r="A17" s="10" t="inlineStr">
        <is>
          <t>4단계</t>
        </is>
      </c>
      <c r="B17" s="11" t="inlineStr">
        <is>
          <t>J6, J7 을 눌러 수식이 F6/E6, F7/E7 로 바뀌었는지 봅니다.</t>
        </is>
      </c>
      <c r="C17" s="12" t="inlineStr">
        <is>
          <t>줄마다 자기 줄을 가리킵니다 — 이것이 상대참조입니다</t>
        </is>
      </c>
    </row>
    <row r="18" ht="26" customHeight="1">
      <c r="A18" s="13" t="inlineStr">
        <is>
          <t>확인</t>
        </is>
      </c>
      <c r="B18" s="14" t="inlineStr">
        <is>
          <t>이렇게 되면 성공 — J5 부터 J29 까지 값이 채워지고, 표 아래 [표 채점] 줄이 25 / 25 가 됩니다</t>
        </is>
      </c>
    </row>
    <row r="20" ht="24" customHeight="1">
      <c r="A20" s="7" t="inlineStr">
        <is>
          <t xml:space="preserve">  미션 3 · $ 로 고정하기 (F4 키)</t>
        </is>
      </c>
    </row>
    <row r="21" ht="20" customHeight="1">
      <c r="A21" s="8" t="inlineStr">
        <is>
          <t>어디서</t>
        </is>
      </c>
      <c r="B21" s="9" t="inlineStr">
        <is>
          <t>[생산일보] 시트 M5 칸 — 단가 찾아오기</t>
        </is>
      </c>
    </row>
    <row r="22" ht="28" customHeight="1">
      <c r="A22" s="10" t="inlineStr">
        <is>
          <t>1단계</t>
        </is>
      </c>
      <c r="B22" s="11" t="inlineStr">
        <is>
          <t>M5 에 =VLOOKUP(C5, 까지 입력합니다.</t>
        </is>
      </c>
      <c r="C22" s="12" t="inlineStr">
        <is>
          <t>쉼표까지 치고 잠깐 멈춥니다</t>
        </is>
      </c>
    </row>
    <row r="23" ht="28" customHeight="1">
      <c r="A23" s="10" t="inlineStr">
        <is>
          <t>2단계</t>
        </is>
      </c>
      <c r="B23" s="11" t="inlineStr">
        <is>
          <t>마우스로 오른쪽 단가표 P5:R8 을 드래그합니다.</t>
        </is>
      </c>
      <c r="C23" s="12" t="inlineStr">
        <is>
          <t>수식에 P5:R8 이 들어갑니다</t>
        </is>
      </c>
    </row>
    <row r="24" ht="28" customHeight="1">
      <c r="A24" s="10" t="inlineStr">
        <is>
          <t>3단계</t>
        </is>
      </c>
      <c r="B24" s="11" t="inlineStr">
        <is>
          <t>바로 F4 키를 한 번 누릅니다.</t>
        </is>
      </c>
      <c r="C24" s="12" t="inlineStr">
        <is>
          <t>P5:R8 이 $P$5:$R$8 로 바뀝니다 — 끌어 내려도 표가 안 움직입니다</t>
        </is>
      </c>
    </row>
    <row r="25" ht="28" customHeight="1">
      <c r="A25" s="10" t="inlineStr">
        <is>
          <t>4단계</t>
        </is>
      </c>
      <c r="B25" s="11" t="inlineStr">
        <is>
          <t>,3,FALSE) 를 마저 치고 Enter.</t>
        </is>
      </c>
      <c r="C25" s="12" t="inlineStr">
        <is>
          <t>3 = 표의 세 번째 열(단가), FALSE = 정확히 일치</t>
        </is>
      </c>
    </row>
    <row r="26" ht="26" customHeight="1">
      <c r="A26" s="13" t="inlineStr">
        <is>
          <t>확인</t>
        </is>
      </c>
      <c r="B26" s="14" t="inlineStr">
        <is>
          <t>이렇게 되면 성공 — M5 에 12,000 이 나오고, 아래로 끌어도 모든 줄이 제 단가를 찾아옵니다</t>
        </is>
      </c>
    </row>
    <row r="28" ht="24" customHeight="1">
      <c r="A28" s="7" t="inlineStr">
        <is>
          <t xml:space="preserve">  미션 4 · 채점 칸 읽는 법</t>
        </is>
      </c>
    </row>
    <row r="29" ht="20" customHeight="1">
      <c r="A29" s="8" t="inlineStr">
        <is>
          <t>어디서</t>
        </is>
      </c>
      <c r="B29" s="9" t="inlineStr">
        <is>
          <t>[생산일보] 시트 집계 문제의 [채점] 열</t>
        </is>
      </c>
    </row>
    <row r="30" ht="28" customHeight="1">
      <c r="A30" s="10" t="inlineStr">
        <is>
          <t>1단계</t>
        </is>
      </c>
      <c r="B30" s="11" t="inlineStr">
        <is>
          <t>아직 수식을 안 넣었으면  ↖ 0 지우고 수식  이라고 나옵니다.</t>
        </is>
      </c>
      <c r="C30" s="12" t="inlineStr">
        <is>
          <t>0 은 답이 아니라 '여기에 넣으라' 는 표시입니다</t>
        </is>
      </c>
    </row>
    <row r="31" ht="28" customHeight="1">
      <c r="A31" s="10" t="inlineStr">
        <is>
          <t>2단계</t>
        </is>
      </c>
      <c r="B31" s="11" t="inlineStr">
        <is>
          <t>수식을 넣어 값이 맞으면  ✔ 맞음  (초록)</t>
        </is>
      </c>
      <c r="C31" s="12" t="inlineStr">
        <is>
          <t>수식이 달라도 결과값이 같으면 맞음입니다</t>
        </is>
      </c>
    </row>
    <row r="32" ht="28" customHeight="1">
      <c r="A32" s="10" t="inlineStr">
        <is>
          <t>3단계</t>
        </is>
      </c>
      <c r="B32" s="11" t="inlineStr">
        <is>
          <t>값이 다르면  ✘ 다시  (빨강)</t>
        </is>
      </c>
      <c r="C32" s="12" t="inlineStr">
        <is>
          <t>범위를 한 줄 덜 잡았는지 먼저 확인해 보세요</t>
        </is>
      </c>
    </row>
    <row r="33" ht="28" customHeight="1">
      <c r="A33" s="10" t="inlineStr">
        <is>
          <t>4단계</t>
        </is>
      </c>
      <c r="B33" s="11" t="inlineStr">
        <is>
          <t>그래도 모르겠으면 [정답·해설] 시트를 엽니다.</t>
        </is>
      </c>
      <c r="C33" s="12" t="inlineStr">
        <is>
          <t>넣을 칸 · 정답 수식 · 정답값이 모두 적혀 있습니다</t>
        </is>
      </c>
    </row>
    <row r="34" ht="26" customHeight="1">
      <c r="A34" s="13" t="inlineStr">
        <is>
          <t>확인</t>
        </is>
      </c>
      <c r="B34" s="14" t="inlineStr">
        <is>
          <t>이렇게 되면 성공 — 문제를 풀수록 초록 칸이 늘어납니다</t>
        </is>
      </c>
    </row>
  </sheetData>
  <mergeCells count="14">
    <mergeCell ref="B13:C13"/>
    <mergeCell ref="A28:C28"/>
    <mergeCell ref="B18:C18"/>
    <mergeCell ref="B21:C21"/>
    <mergeCell ref="B29:C29"/>
    <mergeCell ref="A1:C1"/>
    <mergeCell ref="B5:C5"/>
    <mergeCell ref="B34:C34"/>
    <mergeCell ref="B10:C10"/>
    <mergeCell ref="B26:C26"/>
    <mergeCell ref="A12:C12"/>
    <mergeCell ref="A4:C4"/>
    <mergeCell ref="A20:C20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F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14" customWidth="1" min="4" max="4"/>
    <col width="10" customWidth="1" min="5" max="5"/>
    <col width="10" customWidth="1" min="6" max="6"/>
    <col width="9" customWidth="1" min="7" max="7"/>
    <col width="10" customWidth="1" min="8" max="8"/>
    <col width="13" customWidth="1" min="9" max="9"/>
    <col width="11" customWidth="1" min="10" max="10"/>
    <col width="10" customWidth="1" min="11" max="11"/>
    <col width="11" customWidth="1" min="12" max="12"/>
    <col width="11" customWidth="1" min="13" max="13"/>
    <col width="13" customWidth="1" min="14" max="14"/>
    <col width="3" customWidth="1" min="15" max="15"/>
    <col width="12" customWidth="1" min="16" max="16"/>
    <col width="14" customWidth="1" min="17" max="17"/>
    <col width="11" customWidth="1" min="18" max="18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6" customHeight="1">
      <c r="A1" s="15" t="inlineStr">
        <is>
          <t>2026년 3~4월 · 라인별 생산일보</t>
        </is>
      </c>
    </row>
    <row r="2" ht="30" customHeight="1">
      <c r="A2" s="6" t="inlineStr">
        <is>
          <t>노란 칸의 0 을 지우고 수식을 넣으세요.  J 달성률(%) = 생산수량÷계획수량×100  ·  K 판정  ·  L 불량률(%) = 불량수÷생산수량×100  ·  M 단가(오른쪽 P5:R8 에서 찾기)  ·  N 생산금액 = 생산수량×단가</t>
        </is>
      </c>
    </row>
    <row r="4" ht="24" customHeight="1">
      <c r="A4" s="16" t="inlineStr">
        <is>
          <t>일자</t>
        </is>
      </c>
      <c r="B4" s="16" t="inlineStr">
        <is>
          <t>라인</t>
        </is>
      </c>
      <c r="C4" s="16" t="inlineStr">
        <is>
          <t>제품코드</t>
        </is>
      </c>
      <c r="D4" s="16" t="inlineStr">
        <is>
          <t>제품명</t>
        </is>
      </c>
      <c r="E4" s="16" t="inlineStr">
        <is>
          <t>계획수량</t>
        </is>
      </c>
      <c r="F4" s="16" t="inlineStr">
        <is>
          <t>생산수량</t>
        </is>
      </c>
      <c r="G4" s="16" t="inlineStr">
        <is>
          <t>불량수</t>
        </is>
      </c>
      <c r="H4" s="16" t="inlineStr">
        <is>
          <t>작업시간</t>
        </is>
      </c>
      <c r="I4" s="16" t="inlineStr">
        <is>
          <t>비고</t>
        </is>
      </c>
      <c r="J4" s="16" t="inlineStr">
        <is>
          <t>달성률(%)</t>
        </is>
      </c>
      <c r="K4" s="16" t="inlineStr">
        <is>
          <t>판정</t>
        </is>
      </c>
      <c r="L4" s="16" t="inlineStr">
        <is>
          <t>불량률(%)</t>
        </is>
      </c>
      <c r="M4" s="16" t="inlineStr">
        <is>
          <t>단가</t>
        </is>
      </c>
      <c r="N4" s="16" t="inlineStr">
        <is>
          <t>생산금액</t>
        </is>
      </c>
      <c r="P4" s="17" t="inlineStr">
        <is>
          <t>제품코드</t>
        </is>
      </c>
      <c r="Q4" s="17" t="inlineStr">
        <is>
          <t>제품명</t>
        </is>
      </c>
      <c r="R4" s="17" t="inlineStr">
        <is>
          <t>단가</t>
        </is>
      </c>
    </row>
    <row r="5">
      <c r="A5" s="18" t="n">
        <v>46083</v>
      </c>
      <c r="B5" s="19" t="inlineStr">
        <is>
          <t>A</t>
        </is>
      </c>
      <c r="C5" s="19" t="inlineStr">
        <is>
          <t>BR-01</t>
        </is>
      </c>
      <c r="D5" s="20" t="inlineStr">
        <is>
          <t>베어링유닛</t>
        </is>
      </c>
      <c r="E5" s="21" t="n">
        <v>500</v>
      </c>
      <c r="F5" s="21" t="n">
        <v>512</v>
      </c>
      <c r="G5" s="21" t="n">
        <v>7</v>
      </c>
      <c r="H5" s="22" t="n">
        <v>7.5</v>
      </c>
      <c r="I5" s="20" t="inlineStr">
        <is>
          <t xml:space="preserve"> 야간 </t>
        </is>
      </c>
      <c r="J5" s="23" t="n">
        <v>0</v>
      </c>
      <c r="K5" s="24" t="n">
        <v>0</v>
      </c>
      <c r="L5" s="25" t="n">
        <v>0</v>
      </c>
      <c r="M5" s="26" t="n">
        <v>0</v>
      </c>
      <c r="N5" s="26" t="n">
        <v>0</v>
      </c>
      <c r="P5" s="19" t="inlineStr">
        <is>
          <t>BR-01</t>
        </is>
      </c>
      <c r="Q5" s="19" t="inlineStr">
        <is>
          <t>베어링유닛</t>
        </is>
      </c>
      <c r="R5" s="27" t="n">
        <v>12000</v>
      </c>
      <c r="AB5">
        <f>ROUND(F5/E5*100,1)</f>
        <v/>
      </c>
      <c r="AC5">
        <f>IF(F5&gt;=E5,"달성","미달")</f>
        <v/>
      </c>
      <c r="AD5">
        <f>ROUND(G5/F5*100,2)</f>
        <v/>
      </c>
      <c r="AE5">
        <f>VLOOKUP(C5,$P$5:$R$8,3,FALSE)</f>
        <v/>
      </c>
      <c r="AF5">
        <f>F5*AE5</f>
        <v/>
      </c>
    </row>
    <row r="6">
      <c r="A6" s="18" t="n">
        <v>46084</v>
      </c>
      <c r="B6" s="19" t="inlineStr">
        <is>
          <t>B</t>
        </is>
      </c>
      <c r="C6" s="19" t="inlineStr">
        <is>
          <t>GR-02</t>
        </is>
      </c>
      <c r="D6" s="20" t="inlineStr">
        <is>
          <t>감속기어</t>
        </is>
      </c>
      <c r="E6" s="21" t="n">
        <v>300</v>
      </c>
      <c r="F6" s="21" t="n">
        <v>288</v>
      </c>
      <c r="G6" s="21" t="n">
        <v>12</v>
      </c>
      <c r="H6" s="22" t="n">
        <v>8</v>
      </c>
      <c r="I6" s="20" t="n"/>
      <c r="J6" s="28" t="n"/>
      <c r="K6" s="29" t="n"/>
      <c r="L6" s="30" t="n"/>
      <c r="M6" s="31" t="n"/>
      <c r="N6" s="31" t="n"/>
      <c r="P6" s="19" t="inlineStr">
        <is>
          <t>GR-02</t>
        </is>
      </c>
      <c r="Q6" s="19" t="inlineStr">
        <is>
          <t>감속기어</t>
        </is>
      </c>
      <c r="R6" s="27" t="n">
        <v>45000</v>
      </c>
      <c r="AB6">
        <f>ROUND(F6/E6*100,1)</f>
        <v/>
      </c>
      <c r="AC6">
        <f>IF(F6&gt;=E6,"달성","미달")</f>
        <v/>
      </c>
      <c r="AD6">
        <f>ROUND(G6/F6*100,2)</f>
        <v/>
      </c>
      <c r="AE6">
        <f>VLOOKUP(C6,$P$5:$R$8,3,FALSE)</f>
        <v/>
      </c>
      <c r="AF6">
        <f>F6*AE6</f>
        <v/>
      </c>
    </row>
    <row r="7">
      <c r="A7" s="18" t="n">
        <v>46085</v>
      </c>
      <c r="B7" s="19" t="inlineStr">
        <is>
          <t>A</t>
        </is>
      </c>
      <c r="C7" s="19" t="inlineStr">
        <is>
          <t>BR-01</t>
        </is>
      </c>
      <c r="D7" s="20" t="inlineStr">
        <is>
          <t>베어링유닛</t>
        </is>
      </c>
      <c r="E7" s="21" t="n">
        <v>500</v>
      </c>
      <c r="F7" s="21" t="n">
        <v>476</v>
      </c>
      <c r="G7" s="21" t="n">
        <v>15</v>
      </c>
      <c r="H7" s="22" t="n">
        <v>7.8</v>
      </c>
      <c r="I7" s="20" t="inlineStr">
        <is>
          <t>설비점검</t>
        </is>
      </c>
      <c r="J7" s="28" t="n"/>
      <c r="K7" s="29" t="n"/>
      <c r="L7" s="30" t="n"/>
      <c r="M7" s="31" t="n"/>
      <c r="N7" s="31" t="n"/>
      <c r="P7" s="19" t="inlineStr">
        <is>
          <t>SH-03</t>
        </is>
      </c>
      <c r="Q7" s="19" t="inlineStr">
        <is>
          <t>구동축</t>
        </is>
      </c>
      <c r="R7" s="27" t="n">
        <v>78000</v>
      </c>
      <c r="AB7">
        <f>ROUND(F7/E7*100,1)</f>
        <v/>
      </c>
      <c r="AC7">
        <f>IF(F7&gt;=E7,"달성","미달")</f>
        <v/>
      </c>
      <c r="AD7">
        <f>ROUND(G7/F7*100,2)</f>
        <v/>
      </c>
      <c r="AE7">
        <f>VLOOKUP(C7,$P$5:$R$8,3,FALSE)</f>
        <v/>
      </c>
      <c r="AF7">
        <f>F7*AE7</f>
        <v/>
      </c>
    </row>
    <row r="8">
      <c r="A8" s="18" t="n">
        <v>46086</v>
      </c>
      <c r="B8" s="19" t="inlineStr">
        <is>
          <t>C</t>
        </is>
      </c>
      <c r="C8" s="19" t="inlineStr">
        <is>
          <t>SH-03</t>
        </is>
      </c>
      <c r="D8" s="20" t="inlineStr">
        <is>
          <t>구동축</t>
        </is>
      </c>
      <c r="E8" s="21" t="n">
        <v>200</v>
      </c>
      <c r="F8" s="21" t="n">
        <v>205</v>
      </c>
      <c r="G8" s="21" t="n">
        <v>3</v>
      </c>
      <c r="H8" s="22" t="n">
        <v>8</v>
      </c>
      <c r="I8" s="20" t="n"/>
      <c r="J8" s="28" t="n"/>
      <c r="K8" s="29" t="n"/>
      <c r="L8" s="30" t="n"/>
      <c r="M8" s="31" t="n"/>
      <c r="N8" s="31" t="n"/>
      <c r="P8" s="19" t="inlineStr">
        <is>
          <t>VL-04</t>
        </is>
      </c>
      <c r="Q8" s="19" t="inlineStr">
        <is>
          <t>밸브블록</t>
        </is>
      </c>
      <c r="R8" s="27" t="n">
        <v>33000</v>
      </c>
      <c r="AB8">
        <f>ROUND(F8/E8*100,1)</f>
        <v/>
      </c>
      <c r="AC8">
        <f>IF(F8&gt;=E8,"달성","미달")</f>
        <v/>
      </c>
      <c r="AD8">
        <f>ROUND(G8/F8*100,2)</f>
        <v/>
      </c>
      <c r="AE8">
        <f>VLOOKUP(C8,$P$5:$R$8,3,FALSE)</f>
        <v/>
      </c>
      <c r="AF8">
        <f>F8*AE8</f>
        <v/>
      </c>
    </row>
    <row r="9">
      <c r="A9" s="18" t="n">
        <v>46087</v>
      </c>
      <c r="B9" s="19" t="inlineStr">
        <is>
          <t>B</t>
        </is>
      </c>
      <c r="C9" s="19" t="inlineStr">
        <is>
          <t>VL-04</t>
        </is>
      </c>
      <c r="D9" s="20" t="inlineStr">
        <is>
          <t>밸브블록</t>
        </is>
      </c>
      <c r="E9" s="21" t="n">
        <v>400</v>
      </c>
      <c r="F9" s="21" t="n">
        <v>415</v>
      </c>
      <c r="G9" s="21" t="n">
        <v>9</v>
      </c>
      <c r="H9" s="22" t="n">
        <v>7.2</v>
      </c>
      <c r="I9" s="20" t="inlineStr">
        <is>
          <t xml:space="preserve"> 잔업 </t>
        </is>
      </c>
      <c r="J9" s="28" t="n"/>
      <c r="K9" s="29" t="n"/>
      <c r="L9" s="30" t="n"/>
      <c r="M9" s="31" t="n"/>
      <c r="N9" s="31" t="n"/>
      <c r="P9" s="32" t="inlineStr">
        <is>
          <t>↑ VLOOKUP 이 찾아볼 표 (P5:R8)</t>
        </is>
      </c>
      <c r="AB9">
        <f>ROUND(F9/E9*100,1)</f>
        <v/>
      </c>
      <c r="AC9">
        <f>IF(F9&gt;=E9,"달성","미달")</f>
        <v/>
      </c>
      <c r="AD9">
        <f>ROUND(G9/F9*100,2)</f>
        <v/>
      </c>
      <c r="AE9">
        <f>VLOOKUP(C9,$P$5:$R$8,3,FALSE)</f>
        <v/>
      </c>
      <c r="AF9">
        <f>F9*AE9</f>
        <v/>
      </c>
    </row>
    <row r="10">
      <c r="A10" s="18" t="n">
        <v>46090</v>
      </c>
      <c r="B10" s="19" t="inlineStr">
        <is>
          <t>A</t>
        </is>
      </c>
      <c r="C10" s="19" t="inlineStr">
        <is>
          <t>GR-02</t>
        </is>
      </c>
      <c r="D10" s="20" t="inlineStr">
        <is>
          <t>감속기어</t>
        </is>
      </c>
      <c r="E10" s="21" t="n">
        <v>300</v>
      </c>
      <c r="F10" s="21" t="n">
        <v>300</v>
      </c>
      <c r="G10" s="21" t="n">
        <v>5</v>
      </c>
      <c r="H10" s="22" t="n">
        <v>8</v>
      </c>
      <c r="I10" s="20" t="n"/>
      <c r="J10" s="28" t="n"/>
      <c r="K10" s="29" t="n"/>
      <c r="L10" s="30" t="n"/>
      <c r="M10" s="31" t="n"/>
      <c r="N10" s="31" t="n"/>
      <c r="AB10">
        <f>ROUND(F10/E10*100,1)</f>
        <v/>
      </c>
      <c r="AC10">
        <f>IF(F10&gt;=E10,"달성","미달")</f>
        <v/>
      </c>
      <c r="AD10">
        <f>ROUND(G10/F10*100,2)</f>
        <v/>
      </c>
      <c r="AE10">
        <f>VLOOKUP(C10,$P$5:$R$8,3,FALSE)</f>
        <v/>
      </c>
      <c r="AF10">
        <f>F10*AE10</f>
        <v/>
      </c>
    </row>
    <row r="11">
      <c r="A11" s="18" t="n">
        <v>46091</v>
      </c>
      <c r="B11" s="19" t="inlineStr">
        <is>
          <t>C</t>
        </is>
      </c>
      <c r="C11" s="19" t="inlineStr">
        <is>
          <t>SH-03</t>
        </is>
      </c>
      <c r="D11" s="20" t="inlineStr">
        <is>
          <t>구동축</t>
        </is>
      </c>
      <c r="E11" s="21" t="n">
        <v>200</v>
      </c>
      <c r="F11" s="21" t="n">
        <v>188</v>
      </c>
      <c r="G11" s="21" t="n">
        <v>11</v>
      </c>
      <c r="H11" s="22" t="n">
        <v>7.6</v>
      </c>
      <c r="I11" s="20" t="inlineStr">
        <is>
          <t>자재지연</t>
        </is>
      </c>
      <c r="J11" s="28" t="n"/>
      <c r="K11" s="29" t="n"/>
      <c r="L11" s="30" t="n"/>
      <c r="M11" s="31" t="n"/>
      <c r="N11" s="31" t="n"/>
      <c r="AB11">
        <f>ROUND(F11/E11*100,1)</f>
        <v/>
      </c>
      <c r="AC11">
        <f>IF(F11&gt;=E11,"달성","미달")</f>
        <v/>
      </c>
      <c r="AD11">
        <f>ROUND(G11/F11*100,2)</f>
        <v/>
      </c>
      <c r="AE11">
        <f>VLOOKUP(C11,$P$5:$R$8,3,FALSE)</f>
        <v/>
      </c>
      <c r="AF11">
        <f>F11*AE11</f>
        <v/>
      </c>
    </row>
    <row r="12">
      <c r="A12" s="18" t="n">
        <v>46092</v>
      </c>
      <c r="B12" s="19" t="inlineStr">
        <is>
          <t>B</t>
        </is>
      </c>
      <c r="C12" s="19" t="inlineStr">
        <is>
          <t>BR-01</t>
        </is>
      </c>
      <c r="D12" s="20" t="inlineStr">
        <is>
          <t>베어링유닛</t>
        </is>
      </c>
      <c r="E12" s="21" t="n">
        <v>500</v>
      </c>
      <c r="F12" s="21" t="n">
        <v>534</v>
      </c>
      <c r="G12" s="21" t="n">
        <v>6</v>
      </c>
      <c r="H12" s="22" t="n">
        <v>8</v>
      </c>
      <c r="I12" s="20" t="n"/>
      <c r="J12" s="28" t="n"/>
      <c r="K12" s="29" t="n"/>
      <c r="L12" s="30" t="n"/>
      <c r="M12" s="31" t="n"/>
      <c r="N12" s="31" t="n"/>
      <c r="AB12">
        <f>ROUND(F12/E12*100,1)</f>
        <v/>
      </c>
      <c r="AC12">
        <f>IF(F12&gt;=E12,"달성","미달")</f>
        <v/>
      </c>
      <c r="AD12">
        <f>ROUND(G12/F12*100,2)</f>
        <v/>
      </c>
      <c r="AE12">
        <f>VLOOKUP(C12,$P$5:$R$8,3,FALSE)</f>
        <v/>
      </c>
      <c r="AF12">
        <f>F12*AE12</f>
        <v/>
      </c>
    </row>
    <row r="13">
      <c r="A13" s="18" t="n">
        <v>46093</v>
      </c>
      <c r="B13" s="19" t="inlineStr">
        <is>
          <t>A</t>
        </is>
      </c>
      <c r="C13" s="19" t="inlineStr">
        <is>
          <t>VL-04</t>
        </is>
      </c>
      <c r="D13" s="20" t="inlineStr">
        <is>
          <t>밸브블록</t>
        </is>
      </c>
      <c r="E13" s="21" t="n">
        <v>400</v>
      </c>
      <c r="F13" s="21" t="n">
        <v>372</v>
      </c>
      <c r="G13" s="21" t="n">
        <v>18</v>
      </c>
      <c r="H13" s="22" t="n">
        <v>7.4</v>
      </c>
      <c r="I13" s="20" t="inlineStr">
        <is>
          <t>금형교체</t>
        </is>
      </c>
      <c r="J13" s="28" t="n"/>
      <c r="K13" s="29" t="n"/>
      <c r="L13" s="30" t="n"/>
      <c r="M13" s="31" t="n"/>
      <c r="N13" s="31" t="n"/>
      <c r="AB13">
        <f>ROUND(F13/E13*100,1)</f>
        <v/>
      </c>
      <c r="AC13">
        <f>IF(F13&gt;=E13,"달성","미달")</f>
        <v/>
      </c>
      <c r="AD13">
        <f>ROUND(G13/F13*100,2)</f>
        <v/>
      </c>
      <c r="AE13">
        <f>VLOOKUP(C13,$P$5:$R$8,3,FALSE)</f>
        <v/>
      </c>
      <c r="AF13">
        <f>F13*AE13</f>
        <v/>
      </c>
    </row>
    <row r="14">
      <c r="A14" s="18" t="n">
        <v>46094</v>
      </c>
      <c r="B14" s="19" t="inlineStr">
        <is>
          <t>C</t>
        </is>
      </c>
      <c r="C14" s="19" t="inlineStr">
        <is>
          <t>GR-02</t>
        </is>
      </c>
      <c r="D14" s="20" t="inlineStr">
        <is>
          <t>감속기어</t>
        </is>
      </c>
      <c r="E14" s="21" t="n">
        <v>300</v>
      </c>
      <c r="F14" s="21" t="n">
        <v>316</v>
      </c>
      <c r="G14" s="21" t="n">
        <v>4</v>
      </c>
      <c r="H14" s="22" t="n">
        <v>8</v>
      </c>
      <c r="I14" s="20" t="n"/>
      <c r="J14" s="28" t="n"/>
      <c r="K14" s="29" t="n"/>
      <c r="L14" s="30" t="n"/>
      <c r="M14" s="31" t="n"/>
      <c r="N14" s="31" t="n"/>
      <c r="AB14">
        <f>ROUND(F14/E14*100,1)</f>
        <v/>
      </c>
      <c r="AC14">
        <f>IF(F14&gt;=E14,"달성","미달")</f>
        <v/>
      </c>
      <c r="AD14">
        <f>ROUND(G14/F14*100,2)</f>
        <v/>
      </c>
      <c r="AE14">
        <f>VLOOKUP(C14,$P$5:$R$8,3,FALSE)</f>
        <v/>
      </c>
      <c r="AF14">
        <f>F14*AE14</f>
        <v/>
      </c>
    </row>
    <row r="15">
      <c r="A15" s="18" t="n">
        <v>46097</v>
      </c>
      <c r="B15" s="19" t="inlineStr">
        <is>
          <t>B</t>
        </is>
      </c>
      <c r="C15" s="19" t="inlineStr">
        <is>
          <t>SH-03</t>
        </is>
      </c>
      <c r="D15" s="20" t="inlineStr">
        <is>
          <t>구동축</t>
        </is>
      </c>
      <c r="E15" s="21" t="n">
        <v>200</v>
      </c>
      <c r="F15" s="21" t="n">
        <v>196</v>
      </c>
      <c r="G15" s="21" t="n">
        <v>8</v>
      </c>
      <c r="H15" s="22" t="n">
        <v>7.9</v>
      </c>
      <c r="I15" s="20" t="n"/>
      <c r="J15" s="28" t="n"/>
      <c r="K15" s="29" t="n"/>
      <c r="L15" s="30" t="n"/>
      <c r="M15" s="31" t="n"/>
      <c r="N15" s="31" t="n"/>
      <c r="AB15">
        <f>ROUND(F15/E15*100,1)</f>
        <v/>
      </c>
      <c r="AC15">
        <f>IF(F15&gt;=E15,"달성","미달")</f>
        <v/>
      </c>
      <c r="AD15">
        <f>ROUND(G15/F15*100,2)</f>
        <v/>
      </c>
      <c r="AE15">
        <f>VLOOKUP(C15,$P$5:$R$8,3,FALSE)</f>
        <v/>
      </c>
      <c r="AF15">
        <f>F15*AE15</f>
        <v/>
      </c>
    </row>
    <row r="16">
      <c r="A16" s="18" t="n">
        <v>46098</v>
      </c>
      <c r="B16" s="19" t="inlineStr">
        <is>
          <t>A</t>
        </is>
      </c>
      <c r="C16" s="19" t="inlineStr">
        <is>
          <t>BR-01</t>
        </is>
      </c>
      <c r="D16" s="20" t="inlineStr">
        <is>
          <t>베어링유닛</t>
        </is>
      </c>
      <c r="E16" s="21" t="n">
        <v>500</v>
      </c>
      <c r="F16" s="21" t="n">
        <v>498</v>
      </c>
      <c r="G16" s="21" t="n">
        <v>10</v>
      </c>
      <c r="H16" s="22" t="n">
        <v>8</v>
      </c>
      <c r="I16" s="20" t="inlineStr">
        <is>
          <t xml:space="preserve"> 야간 </t>
        </is>
      </c>
      <c r="J16" s="28" t="n"/>
      <c r="K16" s="29" t="n"/>
      <c r="L16" s="30" t="n"/>
      <c r="M16" s="31" t="n"/>
      <c r="N16" s="31" t="n"/>
      <c r="AB16">
        <f>ROUND(F16/E16*100,1)</f>
        <v/>
      </c>
      <c r="AC16">
        <f>IF(F16&gt;=E16,"달성","미달")</f>
        <v/>
      </c>
      <c r="AD16">
        <f>ROUND(G16/F16*100,2)</f>
        <v/>
      </c>
      <c r="AE16">
        <f>VLOOKUP(C16,$P$5:$R$8,3,FALSE)</f>
        <v/>
      </c>
      <c r="AF16">
        <f>F16*AE16</f>
        <v/>
      </c>
    </row>
    <row r="17">
      <c r="A17" s="18" t="n">
        <v>46099</v>
      </c>
      <c r="B17" s="19" t="inlineStr">
        <is>
          <t>C</t>
        </is>
      </c>
      <c r="C17" s="19" t="inlineStr">
        <is>
          <t>VL-04</t>
        </is>
      </c>
      <c r="D17" s="20" t="inlineStr">
        <is>
          <t>밸브블록</t>
        </is>
      </c>
      <c r="E17" s="21" t="n">
        <v>400</v>
      </c>
      <c r="F17" s="21" t="n">
        <v>424</v>
      </c>
      <c r="G17" s="21" t="n">
        <v>2</v>
      </c>
      <c r="H17" s="22" t="n">
        <v>7.7</v>
      </c>
      <c r="I17" s="20" t="n"/>
      <c r="J17" s="28" t="n"/>
      <c r="K17" s="29" t="n"/>
      <c r="L17" s="30" t="n"/>
      <c r="M17" s="31" t="n"/>
      <c r="N17" s="31" t="n"/>
      <c r="AB17">
        <f>ROUND(F17/E17*100,1)</f>
        <v/>
      </c>
      <c r="AC17">
        <f>IF(F17&gt;=E17,"달성","미달")</f>
        <v/>
      </c>
      <c r="AD17">
        <f>ROUND(G17/F17*100,2)</f>
        <v/>
      </c>
      <c r="AE17">
        <f>VLOOKUP(C17,$P$5:$R$8,3,FALSE)</f>
        <v/>
      </c>
      <c r="AF17">
        <f>F17*AE17</f>
        <v/>
      </c>
    </row>
    <row r="18">
      <c r="A18" s="18" t="n">
        <v>46100</v>
      </c>
      <c r="B18" s="19" t="inlineStr">
        <is>
          <t>B</t>
        </is>
      </c>
      <c r="C18" s="19" t="inlineStr">
        <is>
          <t>GR-02</t>
        </is>
      </c>
      <c r="D18" s="20" t="inlineStr">
        <is>
          <t>감속기어</t>
        </is>
      </c>
      <c r="E18" s="21" t="n">
        <v>300</v>
      </c>
      <c r="F18" s="21" t="n">
        <v>275</v>
      </c>
      <c r="G18" s="21" t="n">
        <v>14</v>
      </c>
      <c r="H18" s="22" t="n">
        <v>8</v>
      </c>
      <c r="I18" s="20" t="inlineStr">
        <is>
          <t>설비점검</t>
        </is>
      </c>
      <c r="J18" s="28" t="n"/>
      <c r="K18" s="29" t="n"/>
      <c r="L18" s="30" t="n"/>
      <c r="M18" s="31" t="n"/>
      <c r="N18" s="31" t="n"/>
      <c r="AB18">
        <f>ROUND(F18/E18*100,1)</f>
        <v/>
      </c>
      <c r="AC18">
        <f>IF(F18&gt;=E18,"달성","미달")</f>
        <v/>
      </c>
      <c r="AD18">
        <f>ROUND(G18/F18*100,2)</f>
        <v/>
      </c>
      <c r="AE18">
        <f>VLOOKUP(C18,$P$5:$R$8,3,FALSE)</f>
        <v/>
      </c>
      <c r="AF18">
        <f>F18*AE18</f>
        <v/>
      </c>
    </row>
    <row r="19">
      <c r="A19" s="18" t="n">
        <v>46101</v>
      </c>
      <c r="B19" s="19" t="inlineStr">
        <is>
          <t>A</t>
        </is>
      </c>
      <c r="C19" s="19" t="inlineStr">
        <is>
          <t>SH-03</t>
        </is>
      </c>
      <c r="D19" s="20" t="inlineStr">
        <is>
          <t>구동축</t>
        </is>
      </c>
      <c r="E19" s="21" t="n">
        <v>200</v>
      </c>
      <c r="F19" s="21" t="n">
        <v>212</v>
      </c>
      <c r="G19" s="21" t="n">
        <v>5</v>
      </c>
      <c r="H19" s="22" t="n">
        <v>7.3</v>
      </c>
      <c r="I19" s="20" t="n"/>
      <c r="J19" s="28" t="n"/>
      <c r="K19" s="29" t="n"/>
      <c r="L19" s="30" t="n"/>
      <c r="M19" s="31" t="n"/>
      <c r="N19" s="31" t="n"/>
      <c r="AB19">
        <f>ROUND(F19/E19*100,1)</f>
        <v/>
      </c>
      <c r="AC19">
        <f>IF(F19&gt;=E19,"달성","미달")</f>
        <v/>
      </c>
      <c r="AD19">
        <f>ROUND(G19/F19*100,2)</f>
        <v/>
      </c>
      <c r="AE19">
        <f>VLOOKUP(C19,$P$5:$R$8,3,FALSE)</f>
        <v/>
      </c>
      <c r="AF19">
        <f>F19*AE19</f>
        <v/>
      </c>
    </row>
    <row r="20">
      <c r="A20" s="18" t="n">
        <v>46104</v>
      </c>
      <c r="B20" s="19" t="inlineStr">
        <is>
          <t>C</t>
        </is>
      </c>
      <c r="C20" s="19" t="inlineStr">
        <is>
          <t>BR-01</t>
        </is>
      </c>
      <c r="D20" s="20" t="inlineStr">
        <is>
          <t>베어링유닛</t>
        </is>
      </c>
      <c r="E20" s="21" t="n">
        <v>500</v>
      </c>
      <c r="F20" s="21" t="n">
        <v>545</v>
      </c>
      <c r="G20" s="21" t="n">
        <v>9</v>
      </c>
      <c r="H20" s="22" t="n">
        <v>8</v>
      </c>
      <c r="I20" s="20" t="n"/>
      <c r="J20" s="28" t="n"/>
      <c r="K20" s="29" t="n"/>
      <c r="L20" s="30" t="n"/>
      <c r="M20" s="31" t="n"/>
      <c r="N20" s="31" t="n"/>
      <c r="AB20">
        <f>ROUND(F20/E20*100,1)</f>
        <v/>
      </c>
      <c r="AC20">
        <f>IF(F20&gt;=E20,"달성","미달")</f>
        <v/>
      </c>
      <c r="AD20">
        <f>ROUND(G20/F20*100,2)</f>
        <v/>
      </c>
      <c r="AE20">
        <f>VLOOKUP(C20,$P$5:$R$8,3,FALSE)</f>
        <v/>
      </c>
      <c r="AF20">
        <f>F20*AE20</f>
        <v/>
      </c>
    </row>
    <row r="21">
      <c r="A21" s="18" t="n">
        <v>46105</v>
      </c>
      <c r="B21" s="19" t="inlineStr">
        <is>
          <t>A</t>
        </is>
      </c>
      <c r="C21" s="19" t="inlineStr">
        <is>
          <t>VL-04</t>
        </is>
      </c>
      <c r="D21" s="20" t="inlineStr">
        <is>
          <t>밸브블록</t>
        </is>
      </c>
      <c r="E21" s="21" t="n">
        <v>400</v>
      </c>
      <c r="F21" s="21" t="n">
        <v>388</v>
      </c>
      <c r="G21" s="21" t="n">
        <v>21</v>
      </c>
      <c r="H21" s="22" t="n">
        <v>7.6</v>
      </c>
      <c r="I21" s="20" t="inlineStr">
        <is>
          <t>품질이상</t>
        </is>
      </c>
      <c r="J21" s="28" t="n"/>
      <c r="K21" s="29" t="n"/>
      <c r="L21" s="30" t="n"/>
      <c r="M21" s="31" t="n"/>
      <c r="N21" s="31" t="n"/>
      <c r="AB21">
        <f>ROUND(F21/E21*100,1)</f>
        <v/>
      </c>
      <c r="AC21">
        <f>IF(F21&gt;=E21,"달성","미달")</f>
        <v/>
      </c>
      <c r="AD21">
        <f>ROUND(G21/F21*100,2)</f>
        <v/>
      </c>
      <c r="AE21">
        <f>VLOOKUP(C21,$P$5:$R$8,3,FALSE)</f>
        <v/>
      </c>
      <c r="AF21">
        <f>F21*AE21</f>
        <v/>
      </c>
    </row>
    <row r="22">
      <c r="A22" s="18" t="n">
        <v>46106</v>
      </c>
      <c r="B22" s="19" t="inlineStr">
        <is>
          <t>B</t>
        </is>
      </c>
      <c r="C22" s="19" t="inlineStr">
        <is>
          <t>SH-03</t>
        </is>
      </c>
      <c r="D22" s="20" t="inlineStr">
        <is>
          <t>구동축</t>
        </is>
      </c>
      <c r="E22" s="21" t="n">
        <v>200</v>
      </c>
      <c r="F22" s="21" t="n">
        <v>199</v>
      </c>
      <c r="G22" s="21" t="n">
        <v>1</v>
      </c>
      <c r="H22" s="22" t="n">
        <v>7.8</v>
      </c>
      <c r="I22" s="20" t="n"/>
      <c r="J22" s="28" t="n"/>
      <c r="K22" s="29" t="n"/>
      <c r="L22" s="30" t="n"/>
      <c r="M22" s="31" t="n"/>
      <c r="N22" s="31" t="n"/>
      <c r="AB22">
        <f>ROUND(F22/E22*100,1)</f>
        <v/>
      </c>
      <c r="AC22">
        <f>IF(F22&gt;=E22,"달성","미달")</f>
        <v/>
      </c>
      <c r="AD22">
        <f>ROUND(G22/F22*100,2)</f>
        <v/>
      </c>
      <c r="AE22">
        <f>VLOOKUP(C22,$P$5:$R$8,3,FALSE)</f>
        <v/>
      </c>
      <c r="AF22">
        <f>F22*AE22</f>
        <v/>
      </c>
    </row>
    <row r="23">
      <c r="A23" s="18" t="n">
        <v>46107</v>
      </c>
      <c r="B23" s="19" t="inlineStr">
        <is>
          <t>C</t>
        </is>
      </c>
      <c r="C23" s="19" t="inlineStr">
        <is>
          <t>GR-02</t>
        </is>
      </c>
      <c r="D23" s="20" t="inlineStr">
        <is>
          <t>감속기어</t>
        </is>
      </c>
      <c r="E23" s="21" t="n">
        <v>300</v>
      </c>
      <c r="F23" s="21" t="n">
        <v>322</v>
      </c>
      <c r="G23" s="21" t="n">
        <v>6</v>
      </c>
      <c r="H23" s="22" t="n">
        <v>8</v>
      </c>
      <c r="I23" s="20" t="inlineStr">
        <is>
          <t xml:space="preserve"> 잔업 </t>
        </is>
      </c>
      <c r="J23" s="28" t="n"/>
      <c r="K23" s="29" t="n"/>
      <c r="L23" s="30" t="n"/>
      <c r="M23" s="31" t="n"/>
      <c r="N23" s="31" t="n"/>
      <c r="AB23">
        <f>ROUND(F23/E23*100,1)</f>
        <v/>
      </c>
      <c r="AC23">
        <f>IF(F23&gt;=E23,"달성","미달")</f>
        <v/>
      </c>
      <c r="AD23">
        <f>ROUND(G23/F23*100,2)</f>
        <v/>
      </c>
      <c r="AE23">
        <f>VLOOKUP(C23,$P$5:$R$8,3,FALSE)</f>
        <v/>
      </c>
      <c r="AF23">
        <f>F23*AE23</f>
        <v/>
      </c>
    </row>
    <row r="24">
      <c r="A24" s="18" t="n">
        <v>46108</v>
      </c>
      <c r="B24" s="19" t="inlineStr">
        <is>
          <t>A</t>
        </is>
      </c>
      <c r="C24" s="19" t="inlineStr">
        <is>
          <t>BR-01</t>
        </is>
      </c>
      <c r="D24" s="20" t="inlineStr">
        <is>
          <t>베어링유닛</t>
        </is>
      </c>
      <c r="E24" s="21" t="n">
        <v>500</v>
      </c>
      <c r="F24" s="21" t="n">
        <v>463</v>
      </c>
      <c r="G24" s="21" t="n">
        <v>17</v>
      </c>
      <c r="H24" s="22" t="n">
        <v>7.1</v>
      </c>
      <c r="I24" s="20" t="inlineStr">
        <is>
          <t>자재지연</t>
        </is>
      </c>
      <c r="J24" s="28" t="n"/>
      <c r="K24" s="29" t="n"/>
      <c r="L24" s="30" t="n"/>
      <c r="M24" s="31" t="n"/>
      <c r="N24" s="31" t="n"/>
      <c r="AB24">
        <f>ROUND(F24/E24*100,1)</f>
        <v/>
      </c>
      <c r="AC24">
        <f>IF(F24&gt;=E24,"달성","미달")</f>
        <v/>
      </c>
      <c r="AD24">
        <f>ROUND(G24/F24*100,2)</f>
        <v/>
      </c>
      <c r="AE24">
        <f>VLOOKUP(C24,$P$5:$R$8,3,FALSE)</f>
        <v/>
      </c>
      <c r="AF24">
        <f>F24*AE24</f>
        <v/>
      </c>
    </row>
    <row r="25">
      <c r="A25" s="18" t="n">
        <v>46111</v>
      </c>
      <c r="B25" s="19" t="inlineStr">
        <is>
          <t>B</t>
        </is>
      </c>
      <c r="C25" s="19" t="inlineStr">
        <is>
          <t>VL-04</t>
        </is>
      </c>
      <c r="D25" s="20" t="inlineStr">
        <is>
          <t>밸브블록</t>
        </is>
      </c>
      <c r="E25" s="21" t="n">
        <v>400</v>
      </c>
      <c r="F25" s="21" t="n">
        <v>431</v>
      </c>
      <c r="G25" s="21" t="n">
        <v>8</v>
      </c>
      <c r="H25" s="22" t="n">
        <v>8</v>
      </c>
      <c r="I25" s="20" t="n"/>
      <c r="J25" s="28" t="n"/>
      <c r="K25" s="29" t="n"/>
      <c r="L25" s="30" t="n"/>
      <c r="M25" s="31" t="n"/>
      <c r="N25" s="31" t="n"/>
      <c r="AB25">
        <f>ROUND(F25/E25*100,1)</f>
        <v/>
      </c>
      <c r="AC25">
        <f>IF(F25&gt;=E25,"달성","미달")</f>
        <v/>
      </c>
      <c r="AD25">
        <f>ROUND(G25/F25*100,2)</f>
        <v/>
      </c>
      <c r="AE25">
        <f>VLOOKUP(C25,$P$5:$R$8,3,FALSE)</f>
        <v/>
      </c>
      <c r="AF25">
        <f>F25*AE25</f>
        <v/>
      </c>
    </row>
    <row r="26">
      <c r="A26" s="18" t="n">
        <v>46112</v>
      </c>
      <c r="B26" s="19" t="inlineStr">
        <is>
          <t>C</t>
        </is>
      </c>
      <c r="C26" s="19" t="inlineStr">
        <is>
          <t>SH-03</t>
        </is>
      </c>
      <c r="D26" s="20" t="inlineStr">
        <is>
          <t>구동축</t>
        </is>
      </c>
      <c r="E26" s="21" t="n">
        <v>200</v>
      </c>
      <c r="F26" s="21" t="n">
        <v>184</v>
      </c>
      <c r="G26" s="21" t="n">
        <v>13</v>
      </c>
      <c r="H26" s="22" t="n">
        <v>7.5</v>
      </c>
      <c r="I26" s="20" t="inlineStr">
        <is>
          <t>설비점검</t>
        </is>
      </c>
      <c r="J26" s="28" t="n"/>
      <c r="K26" s="29" t="n"/>
      <c r="L26" s="30" t="n"/>
      <c r="M26" s="31" t="n"/>
      <c r="N26" s="31" t="n"/>
      <c r="AB26">
        <f>ROUND(F26/E26*100,1)</f>
        <v/>
      </c>
      <c r="AC26">
        <f>IF(F26&gt;=E26,"달성","미달")</f>
        <v/>
      </c>
      <c r="AD26">
        <f>ROUND(G26/F26*100,2)</f>
        <v/>
      </c>
      <c r="AE26">
        <f>VLOOKUP(C26,$P$5:$R$8,3,FALSE)</f>
        <v/>
      </c>
      <c r="AF26">
        <f>F26*AE26</f>
        <v/>
      </c>
    </row>
    <row r="27">
      <c r="A27" s="18" t="n">
        <v>46113</v>
      </c>
      <c r="B27" s="19" t="inlineStr">
        <is>
          <t>A</t>
        </is>
      </c>
      <c r="C27" s="19" t="inlineStr">
        <is>
          <t>GR-02</t>
        </is>
      </c>
      <c r="D27" s="20" t="inlineStr">
        <is>
          <t>감속기어</t>
        </is>
      </c>
      <c r="E27" s="21" t="n">
        <v>300</v>
      </c>
      <c r="F27" s="21" t="n">
        <v>308</v>
      </c>
      <c r="G27" s="21" t="n">
        <v>4</v>
      </c>
      <c r="H27" s="22" t="n">
        <v>8</v>
      </c>
      <c r="I27" s="20" t="n"/>
      <c r="J27" s="28" t="n"/>
      <c r="K27" s="29" t="n"/>
      <c r="L27" s="30" t="n"/>
      <c r="M27" s="31" t="n"/>
      <c r="N27" s="31" t="n"/>
      <c r="AB27">
        <f>ROUND(F27/E27*100,1)</f>
        <v/>
      </c>
      <c r="AC27">
        <f>IF(F27&gt;=E27,"달성","미달")</f>
        <v/>
      </c>
      <c r="AD27">
        <f>ROUND(G27/F27*100,2)</f>
        <v/>
      </c>
      <c r="AE27">
        <f>VLOOKUP(C27,$P$5:$R$8,3,FALSE)</f>
        <v/>
      </c>
      <c r="AF27">
        <f>F27*AE27</f>
        <v/>
      </c>
    </row>
    <row r="28">
      <c r="A28" s="18" t="n">
        <v>46114</v>
      </c>
      <c r="B28" s="19" t="inlineStr">
        <is>
          <t>B</t>
        </is>
      </c>
      <c r="C28" s="19" t="inlineStr">
        <is>
          <t>BR-01</t>
        </is>
      </c>
      <c r="D28" s="20" t="inlineStr">
        <is>
          <t>베어링유닛</t>
        </is>
      </c>
      <c r="E28" s="21" t="n">
        <v>500</v>
      </c>
      <c r="F28" s="21" t="n">
        <v>521</v>
      </c>
      <c r="G28" s="21" t="n">
        <v>11</v>
      </c>
      <c r="H28" s="22" t="n">
        <v>8</v>
      </c>
      <c r="I28" s="20" t="n"/>
      <c r="J28" s="28" t="n"/>
      <c r="K28" s="29" t="n"/>
      <c r="L28" s="30" t="n"/>
      <c r="M28" s="31" t="n"/>
      <c r="N28" s="31" t="n"/>
      <c r="AB28">
        <f>ROUND(F28/E28*100,1)</f>
        <v/>
      </c>
      <c r="AC28">
        <f>IF(F28&gt;=E28,"달성","미달")</f>
        <v/>
      </c>
      <c r="AD28">
        <f>ROUND(G28/F28*100,2)</f>
        <v/>
      </c>
      <c r="AE28">
        <f>VLOOKUP(C28,$P$5:$R$8,3,FALSE)</f>
        <v/>
      </c>
      <c r="AF28">
        <f>F28*AE28</f>
        <v/>
      </c>
    </row>
    <row r="29">
      <c r="A29" s="18" t="n">
        <v>46115</v>
      </c>
      <c r="B29" s="19" t="inlineStr">
        <is>
          <t>C</t>
        </is>
      </c>
      <c r="C29" s="19" t="inlineStr">
        <is>
          <t>VL-04</t>
        </is>
      </c>
      <c r="D29" s="20" t="inlineStr">
        <is>
          <t>밸브블록</t>
        </is>
      </c>
      <c r="E29" s="21" t="n">
        <v>400</v>
      </c>
      <c r="F29" s="21" t="n">
        <v>396</v>
      </c>
      <c r="G29" s="21" t="n">
        <v>7</v>
      </c>
      <c r="H29" s="22" t="n">
        <v>7.9</v>
      </c>
      <c r="I29" s="20" t="inlineStr">
        <is>
          <t xml:space="preserve"> 야간 </t>
        </is>
      </c>
      <c r="J29" s="28" t="n"/>
      <c r="K29" s="29" t="n"/>
      <c r="L29" s="30" t="n"/>
      <c r="M29" s="31" t="n"/>
      <c r="N29" s="31" t="n"/>
      <c r="AB29">
        <f>ROUND(F29/E29*100,1)</f>
        <v/>
      </c>
      <c r="AC29">
        <f>IF(F29&gt;=E29,"달성","미달")</f>
        <v/>
      </c>
      <c r="AD29">
        <f>ROUND(G29/F29*100,2)</f>
        <v/>
      </c>
      <c r="AE29">
        <f>VLOOKUP(C29,$P$5:$R$8,3,FALSE)</f>
        <v/>
      </c>
      <c r="AF29">
        <f>F29*AE29</f>
        <v/>
      </c>
    </row>
    <row r="31">
      <c r="A31" s="33" t="inlineStr">
        <is>
          <t>표 채점 →</t>
        </is>
      </c>
      <c r="J31" s="34">
        <f>SUMPRODUCT(--(ROUND($J$5:$J$29,1)=ROUND($AB$5:$AB$29,1)))&amp;" / 25"</f>
        <v/>
      </c>
      <c r="K31" s="34">
        <f>SUMPRODUCT(--($K$5:$K$29=$AC$5:$AC$29))&amp;" / 25"</f>
        <v/>
      </c>
      <c r="L31" s="34">
        <f>SUMPRODUCT(--(ROUND($L$5:$L$29,2)=ROUND($AD$5:$AD$29,2)))&amp;" / 25"</f>
        <v/>
      </c>
      <c r="M31" s="34">
        <f>SUMPRODUCT(--($M$5:$M$29=$AE$5:$AE$29))&amp;" / 25"</f>
        <v/>
      </c>
      <c r="N31" s="34">
        <f>SUMPRODUCT(--($N$5:$N$29=$AF$5:$AF$29))&amp;" / 25"</f>
        <v/>
      </c>
    </row>
    <row r="32" ht="30" customHeight="1">
      <c r="A32" s="6" t="inlineStr">
        <is>
          <t>표 채점 — 노란 열마다 '맞은 칸 수 / 25' 로 나옵니다. J5 에 수식을 만들고 J29 까지 끌어 내리면 25 / 25 가 됩니다.</t>
        </is>
      </c>
    </row>
    <row r="34" ht="26" customHeight="1">
      <c r="A34" s="5" t="inlineStr">
        <is>
          <t>■ 집계 문제 39개 — 번호 옆 ▶ 표시된 칸(F열)에 수식을 넣으세요</t>
        </is>
      </c>
    </row>
    <row r="35" ht="26" customHeight="1">
      <c r="A35" s="16" t="inlineStr">
        <is>
          <t>번호 ▶ 넣을 칸</t>
        </is>
      </c>
      <c r="B35" s="16" t="inlineStr">
        <is>
          <t>문제 — 무엇을 구하나</t>
        </is>
      </c>
      <c r="C35" s="35" t="n"/>
      <c r="D35" s="35" t="n"/>
      <c r="E35" s="36" t="n"/>
      <c r="F35" s="16" t="inlineStr">
        <is>
          <t>답</t>
        </is>
      </c>
      <c r="G35" s="16" t="inlineStr">
        <is>
          <t>채점</t>
        </is>
      </c>
      <c r="H35" s="16" t="inlineStr">
        <is>
          <t>힌트 — 쓰는 함수</t>
        </is>
      </c>
      <c r="I35" s="35" t="n"/>
      <c r="J35" s="35" t="n"/>
      <c r="K35" s="35" t="n"/>
      <c r="L35" s="35" t="n"/>
      <c r="M35" s="35" t="n"/>
      <c r="N35" s="36" t="n"/>
    </row>
    <row r="36" ht="21" customHeight="1">
      <c r="A36" s="37" t="inlineStr">
        <is>
          <t xml:space="preserve">  논리 — IF · AND · OR · IFERROR</t>
        </is>
      </c>
    </row>
    <row r="37" ht="26" customHeight="1">
      <c r="A37" s="38" t="inlineStr">
        <is>
          <t>1  ▶F37</t>
        </is>
      </c>
      <c r="B37" s="11" t="inlineStr">
        <is>
          <t>생산수량[F5]이 계획수량[E5] 이상이면 "달성", 아니면 "미달" 이라고 나오게 하시오.</t>
        </is>
      </c>
      <c r="C37" s="39" t="n"/>
      <c r="D37" s="39" t="n"/>
      <c r="E37" s="39" t="n"/>
      <c r="F37" s="24" t="n">
        <v>0</v>
      </c>
      <c r="G37" s="40">
        <f>IF(NOT(_xlfn.ISFORMULA(F37)),"↖ 0 지우고 수식",IF(IFERROR(ROUND(F37,4)=ROUND(AB37,4),F37=AB37),"✔ 맞음","✘ 다시"))</f>
        <v/>
      </c>
      <c r="H37" s="12" t="inlineStr">
        <is>
          <t>IF(조건, 참일 때, 거짓일 때) · 글자는 "큰따옴표"</t>
        </is>
      </c>
      <c r="I37" s="39" t="n"/>
      <c r="J37" s="39" t="n"/>
      <c r="K37" s="39" t="n"/>
      <c r="L37" s="39" t="n"/>
      <c r="M37" s="39" t="n"/>
      <c r="N37" s="39" t="n"/>
      <c r="AB37">
        <f>IF(F5&gt;=E5,"달성","미달")</f>
        <v/>
      </c>
    </row>
    <row r="38" ht="26" customHeight="1">
      <c r="A38" s="38" t="inlineStr">
        <is>
          <t>2  ▶F38</t>
        </is>
      </c>
      <c r="B38" s="11" t="inlineStr">
        <is>
          <t>생산수량[F5]이 500 이상이면서 불량수[G5]가 10 미만이면 "우수", 아니면 "보통".</t>
        </is>
      </c>
      <c r="C38" s="39" t="n"/>
      <c r="D38" s="39" t="n"/>
      <c r="E38" s="39" t="n"/>
      <c r="F38" s="24" t="n">
        <v>0</v>
      </c>
      <c r="G38" s="40">
        <f>IF(NOT(_xlfn.ISFORMULA(F38)),"↖ 0 지우고 수식",IF(IFERROR(ROUND(F38,4)=ROUND(AB38,4),F38=AB38),"✔ 맞음","✘ 다시"))</f>
        <v/>
      </c>
      <c r="H38" s="12" t="inlineStr">
        <is>
          <t>조건이 두 개 다 맞아야 → AND(조건1, 조건2)</t>
        </is>
      </c>
      <c r="I38" s="39" t="n"/>
      <c r="J38" s="39" t="n"/>
      <c r="K38" s="39" t="n"/>
      <c r="L38" s="39" t="n"/>
      <c r="M38" s="39" t="n"/>
      <c r="N38" s="39" t="n"/>
      <c r="AB38">
        <f>IF(AND(F5&gt;=500,G5&lt;10),"우수","보통")</f>
        <v/>
      </c>
    </row>
    <row r="39" ht="26" customHeight="1">
      <c r="A39" s="38" t="inlineStr">
        <is>
          <t>3  ▶F39</t>
        </is>
      </c>
      <c r="B39" s="11" t="inlineStr">
        <is>
          <t>라인[B5]이 "A" 이거나 작업시간[H5]이 8 이상이면 "확인", 아니면 빈칸.</t>
        </is>
      </c>
      <c r="C39" s="39" t="n"/>
      <c r="D39" s="39" t="n"/>
      <c r="E39" s="39" t="n"/>
      <c r="F39" s="24" t="n">
        <v>0</v>
      </c>
      <c r="G39" s="40">
        <f>IF(NOT(_xlfn.ISFORMULA(F39)),"↖ 0 지우고 수식",IF(IFERROR(ROUND(F39,4)=ROUND(AB39,4),F39=AB39),"✔ 맞음","✘ 다시"))</f>
        <v/>
      </c>
      <c r="H39" s="12" t="inlineStr">
        <is>
          <t>둘 중 하나만 맞아도 → OR(조건1, 조건2) · 빈칸은 ""</t>
        </is>
      </c>
      <c r="I39" s="39" t="n"/>
      <c r="J39" s="39" t="n"/>
      <c r="K39" s="39" t="n"/>
      <c r="L39" s="39" t="n"/>
      <c r="M39" s="39" t="n"/>
      <c r="N39" s="39" t="n"/>
      <c r="AB39">
        <f>IF(OR(B5="A",H5&gt;=8),"확인","")</f>
        <v/>
      </c>
    </row>
    <row r="40" ht="26" customHeight="1">
      <c r="A40" s="38" t="inlineStr">
        <is>
          <t>4  ▶F40</t>
        </is>
      </c>
      <c r="B40" s="11" t="inlineStr">
        <is>
          <t>불량수[G5]를 생산수량[F5]으로 나누되, 오류가 나면 "-" 가 나오게 하시오.</t>
        </is>
      </c>
      <c r="C40" s="39" t="n"/>
      <c r="D40" s="39" t="n"/>
      <c r="E40" s="39" t="n"/>
      <c r="F40" s="41" t="n">
        <v>0</v>
      </c>
      <c r="G40" s="40">
        <f>IF(NOT(_xlfn.ISFORMULA(F40)),"↖ 0 지우고 수식",IF(IFERROR(ROUND(F40,4)=ROUND(AB40,4),F40=AB40),"✔ 맞음","✘ 다시"))</f>
        <v/>
      </c>
      <c r="H40" s="12" t="inlineStr">
        <is>
          <t>IFERROR(수식, 오류일 때 보여 줄 것)</t>
        </is>
      </c>
      <c r="I40" s="39" t="n"/>
      <c r="J40" s="39" t="n"/>
      <c r="K40" s="39" t="n"/>
      <c r="L40" s="39" t="n"/>
      <c r="M40" s="39" t="n"/>
      <c r="N40" s="39" t="n"/>
      <c r="AB40">
        <f>IFERROR(G5/F5,"-")</f>
        <v/>
      </c>
    </row>
    <row r="41" ht="21" customHeight="1">
      <c r="A41" s="37" t="inlineStr">
        <is>
          <t xml:space="preserve">  통계 — SUM · AVERAGE · MAX · MIN · LARGE · SMALL · MEDIAN · RANK.EQ</t>
        </is>
      </c>
    </row>
    <row r="42" ht="26" customHeight="1">
      <c r="A42" s="38" t="inlineStr">
        <is>
          <t>5  ▶F42</t>
        </is>
      </c>
      <c r="B42" s="11" t="inlineStr">
        <is>
          <t>3월~4월 전체 생산수량[F5:F29] 의 합계.</t>
        </is>
      </c>
      <c r="C42" s="39" t="n"/>
      <c r="D42" s="39" t="n"/>
      <c r="E42" s="39" t="n"/>
      <c r="F42" s="24" t="n">
        <v>0</v>
      </c>
      <c r="G42" s="40">
        <f>IF(NOT(_xlfn.ISFORMULA(F42)),"↖ 0 지우고 수식",IF(IFERROR(ROUND(F42,4)=ROUND(AB42,4),F42=AB42),"✔ 맞음","✘ 다시"))</f>
        <v/>
      </c>
      <c r="H42" s="12" t="inlineStr">
        <is>
          <t>SUM(범위)</t>
        </is>
      </c>
      <c r="I42" s="39" t="n"/>
      <c r="J42" s="39" t="n"/>
      <c r="K42" s="39" t="n"/>
      <c r="L42" s="39" t="n"/>
      <c r="M42" s="39" t="n"/>
      <c r="N42" s="39" t="n"/>
      <c r="AB42">
        <f>SUM(F5:F29)</f>
        <v/>
      </c>
    </row>
    <row r="43" ht="26" customHeight="1">
      <c r="A43" s="38" t="inlineStr">
        <is>
          <t>6  ▶F43</t>
        </is>
      </c>
      <c r="B43" s="11" t="inlineStr">
        <is>
          <t>전체 생산수량[F5:F29] 의 평균을 정수로 반올림해서.</t>
        </is>
      </c>
      <c r="C43" s="39" t="n"/>
      <c r="D43" s="39" t="n"/>
      <c r="E43" s="39" t="n"/>
      <c r="F43" s="24" t="n">
        <v>0</v>
      </c>
      <c r="G43" s="40">
        <f>IF(NOT(_xlfn.ISFORMULA(F43)),"↖ 0 지우고 수식",IF(IFERROR(ROUND(F43,4)=ROUND(AB43,4),F43=AB43),"✔ 맞음","✘ 다시"))</f>
        <v/>
      </c>
      <c r="H43" s="12" t="inlineStr">
        <is>
          <t>ROUND 안에 AVERAGE 를 넣습니다 · 자릿수 0</t>
        </is>
      </c>
      <c r="I43" s="39" t="n"/>
      <c r="J43" s="39" t="n"/>
      <c r="K43" s="39" t="n"/>
      <c r="L43" s="39" t="n"/>
      <c r="M43" s="39" t="n"/>
      <c r="N43" s="39" t="n"/>
      <c r="AB43">
        <f>ROUND(AVERAGE(F5:F29),0)</f>
        <v/>
      </c>
    </row>
    <row r="44" ht="26" customHeight="1">
      <c r="A44" s="38" t="inlineStr">
        <is>
          <t>7  ▶F44</t>
        </is>
      </c>
      <c r="B44" s="11" t="inlineStr">
        <is>
          <t>하루 최대 생산수량[F5:F29].</t>
        </is>
      </c>
      <c r="C44" s="39" t="n"/>
      <c r="D44" s="39" t="n"/>
      <c r="E44" s="39" t="n"/>
      <c r="F44" s="24" t="n">
        <v>0</v>
      </c>
      <c r="G44" s="40">
        <f>IF(NOT(_xlfn.ISFORMULA(F44)),"↖ 0 지우고 수식",IF(IFERROR(ROUND(F44,4)=ROUND(AB44,4),F44=AB44),"✔ 맞음","✘ 다시"))</f>
        <v/>
      </c>
      <c r="H44" s="12" t="inlineStr">
        <is>
          <t>MAX(범위)</t>
        </is>
      </c>
      <c r="I44" s="39" t="n"/>
      <c r="J44" s="39" t="n"/>
      <c r="K44" s="39" t="n"/>
      <c r="L44" s="39" t="n"/>
      <c r="M44" s="39" t="n"/>
      <c r="N44" s="39" t="n"/>
      <c r="AB44">
        <f>MAX(F5:F29)</f>
        <v/>
      </c>
    </row>
    <row r="45" ht="26" customHeight="1">
      <c r="A45" s="38" t="inlineStr">
        <is>
          <t>8  ▶F45</t>
        </is>
      </c>
      <c r="B45" s="11" t="inlineStr">
        <is>
          <t>하루 최소 불량수[G5:G29].</t>
        </is>
      </c>
      <c r="C45" s="39" t="n"/>
      <c r="D45" s="39" t="n"/>
      <c r="E45" s="39" t="n"/>
      <c r="F45" s="24" t="n">
        <v>0</v>
      </c>
      <c r="G45" s="40">
        <f>IF(NOT(_xlfn.ISFORMULA(F45)),"↖ 0 지우고 수식",IF(IFERROR(ROUND(F45,4)=ROUND(AB45,4),F45=AB45),"✔ 맞음","✘ 다시"))</f>
        <v/>
      </c>
      <c r="H45" s="12" t="inlineStr">
        <is>
          <t>MIN(범위)</t>
        </is>
      </c>
      <c r="I45" s="39" t="n"/>
      <c r="J45" s="39" t="n"/>
      <c r="K45" s="39" t="n"/>
      <c r="L45" s="39" t="n"/>
      <c r="M45" s="39" t="n"/>
      <c r="N45" s="39" t="n"/>
      <c r="AB45">
        <f>MIN(G5:G29)</f>
        <v/>
      </c>
    </row>
    <row r="46" ht="26" customHeight="1">
      <c r="A46" s="38" t="inlineStr">
        <is>
          <t>9  ▶F46</t>
        </is>
      </c>
      <c r="B46" s="11" t="inlineStr">
        <is>
          <t>생산수량이 세 번째로 많은 날의 수량.</t>
        </is>
      </c>
      <c r="C46" s="39" t="n"/>
      <c r="D46" s="39" t="n"/>
      <c r="E46" s="39" t="n"/>
      <c r="F46" s="24" t="n">
        <v>0</v>
      </c>
      <c r="G46" s="40">
        <f>IF(NOT(_xlfn.ISFORMULA(F46)),"↖ 0 지우고 수식",IF(IFERROR(ROUND(F46,4)=ROUND(AB46,4),F46=AB46),"✔ 맞음","✘ 다시"))</f>
        <v/>
      </c>
      <c r="H46" s="12" t="inlineStr">
        <is>
          <t>LARGE(범위, 몇 번째)</t>
        </is>
      </c>
      <c r="I46" s="39" t="n"/>
      <c r="J46" s="39" t="n"/>
      <c r="K46" s="39" t="n"/>
      <c r="L46" s="39" t="n"/>
      <c r="M46" s="39" t="n"/>
      <c r="N46" s="39" t="n"/>
      <c r="AB46">
        <f>LARGE(F5:F29,3)</f>
        <v/>
      </c>
    </row>
    <row r="47" ht="26" customHeight="1">
      <c r="A47" s="38" t="inlineStr">
        <is>
          <t>10  ▶F47</t>
        </is>
      </c>
      <c r="B47" s="11" t="inlineStr">
        <is>
          <t>불량수가 두 번째로 적은 날의 불량수.</t>
        </is>
      </c>
      <c r="C47" s="39" t="n"/>
      <c r="D47" s="39" t="n"/>
      <c r="E47" s="39" t="n"/>
      <c r="F47" s="24" t="n">
        <v>0</v>
      </c>
      <c r="G47" s="40">
        <f>IF(NOT(_xlfn.ISFORMULA(F47)),"↖ 0 지우고 수식",IF(IFERROR(ROUND(F47,4)=ROUND(AB47,4),F47=AB47),"✔ 맞음","✘ 다시"))</f>
        <v/>
      </c>
      <c r="H47" s="12" t="inlineStr">
        <is>
          <t>SMALL(범위, 몇 번째)</t>
        </is>
      </c>
      <c r="I47" s="39" t="n"/>
      <c r="J47" s="39" t="n"/>
      <c r="K47" s="39" t="n"/>
      <c r="L47" s="39" t="n"/>
      <c r="M47" s="39" t="n"/>
      <c r="N47" s="39" t="n"/>
      <c r="AB47">
        <f>SMALL(G5:G29,2)</f>
        <v/>
      </c>
    </row>
    <row r="48" ht="26" customHeight="1">
      <c r="A48" s="38" t="inlineStr">
        <is>
          <t>11  ▶F48</t>
        </is>
      </c>
      <c r="B48" s="11" t="inlineStr">
        <is>
          <t>생산수량[F5:F29] 의 중앙값(가운데 값).</t>
        </is>
      </c>
      <c r="C48" s="39" t="n"/>
      <c r="D48" s="39" t="n"/>
      <c r="E48" s="39" t="n"/>
      <c r="F48" s="24" t="n">
        <v>0</v>
      </c>
      <c r="G48" s="40">
        <f>IF(NOT(_xlfn.ISFORMULA(F48)),"↖ 0 지우고 수식",IF(IFERROR(ROUND(F48,4)=ROUND(AB48,4),F48=AB48),"✔ 맞음","✘ 다시"))</f>
        <v/>
      </c>
      <c r="H48" s="12" t="inlineStr">
        <is>
          <t>MEDIAN(범위)</t>
        </is>
      </c>
      <c r="I48" s="39" t="n"/>
      <c r="J48" s="39" t="n"/>
      <c r="K48" s="39" t="n"/>
      <c r="L48" s="39" t="n"/>
      <c r="M48" s="39" t="n"/>
      <c r="N48" s="39" t="n"/>
      <c r="AB48">
        <f>MEDIAN(F5:F29)</f>
        <v/>
      </c>
    </row>
    <row r="49" ht="26" customHeight="1">
      <c r="A49" s="38" t="inlineStr">
        <is>
          <t>12  ▶F49</t>
        </is>
      </c>
      <c r="B49" s="11" t="inlineStr">
        <is>
          <t>3월 2일 생산수량[F5]은 전체에서 몇 등인가? (큰 값이 1등)</t>
        </is>
      </c>
      <c r="C49" s="39" t="n"/>
      <c r="D49" s="39" t="n"/>
      <c r="E49" s="39" t="n"/>
      <c r="F49" s="24" t="n">
        <v>0</v>
      </c>
      <c r="G49" s="40">
        <f>IF(NOT(_xlfn.ISFORMULA(F49)),"↖ 0 지우고 수식",IF(IFERROR(ROUND(F49,4)=ROUND(AB49,4),F49=AB49),"✔ 맞음","✘ 다시"))</f>
        <v/>
      </c>
      <c r="H49" s="12" t="inlineStr">
        <is>
          <t>RANK.EQ(값, 범위) · 범위는 F4 를 눌러 $ 로 고정</t>
        </is>
      </c>
      <c r="I49" s="39" t="n"/>
      <c r="J49" s="39" t="n"/>
      <c r="K49" s="39" t="n"/>
      <c r="L49" s="39" t="n"/>
      <c r="M49" s="39" t="n"/>
      <c r="N49" s="39" t="n"/>
      <c r="AB49">
        <f>_xlfn.RANK.EQ(F5,$F$5:$F$29)</f>
        <v/>
      </c>
    </row>
    <row r="50" ht="21" customHeight="1">
      <c r="A50" s="37" t="inlineStr">
        <is>
          <t xml:space="preserve">  개수 세기 — COUNT · COUNTA · COUNTBLANK · COUNTIF</t>
        </is>
      </c>
    </row>
    <row r="51" ht="26" customHeight="1">
      <c r="A51" s="38" t="inlineStr">
        <is>
          <t>13  ▶F51</t>
        </is>
      </c>
      <c r="B51" s="11" t="inlineStr">
        <is>
          <t>라인[B5:B29] 에 글자가 적힌 칸의 개수 = 기록된 날 수.</t>
        </is>
      </c>
      <c r="C51" s="39" t="n"/>
      <c r="D51" s="39" t="n"/>
      <c r="E51" s="39" t="n"/>
      <c r="F51" s="24" t="n">
        <v>0</v>
      </c>
      <c r="G51" s="40">
        <f>IF(NOT(_xlfn.ISFORMULA(F51)),"↖ 0 지우고 수식",IF(IFERROR(ROUND(F51,4)=ROUND(AB51,4),F51=AB51),"✔ 맞음","✘ 다시"))</f>
        <v/>
      </c>
      <c r="H51" s="12" t="inlineStr">
        <is>
          <t>COUNTA(범위) — 비어 있지 않은 칸을 셉니다</t>
        </is>
      </c>
      <c r="I51" s="39" t="n"/>
      <c r="J51" s="39" t="n"/>
      <c r="K51" s="39" t="n"/>
      <c r="L51" s="39" t="n"/>
      <c r="M51" s="39" t="n"/>
      <c r="N51" s="39" t="n"/>
      <c r="AB51">
        <f>COUNTA(B5:B29)</f>
        <v/>
      </c>
    </row>
    <row r="52" ht="26" customHeight="1">
      <c r="A52" s="38" t="inlineStr">
        <is>
          <t>14  ▶F52</t>
        </is>
      </c>
      <c r="B52" s="11" t="inlineStr">
        <is>
          <t>작업시간[H5:H29] 중 숫자가 들어 있는 칸의 개수.</t>
        </is>
      </c>
      <c r="C52" s="39" t="n"/>
      <c r="D52" s="39" t="n"/>
      <c r="E52" s="39" t="n"/>
      <c r="F52" s="24" t="n">
        <v>0</v>
      </c>
      <c r="G52" s="40">
        <f>IF(NOT(_xlfn.ISFORMULA(F52)),"↖ 0 지우고 수식",IF(IFERROR(ROUND(F52,4)=ROUND(AB52,4),F52=AB52),"✔ 맞음","✘ 다시"))</f>
        <v/>
      </c>
      <c r="H52" s="12" t="inlineStr">
        <is>
          <t>COUNT(범위) — 숫자만 셉니다</t>
        </is>
      </c>
      <c r="I52" s="39" t="n"/>
      <c r="J52" s="39" t="n"/>
      <c r="K52" s="39" t="n"/>
      <c r="L52" s="39" t="n"/>
      <c r="M52" s="39" t="n"/>
      <c r="N52" s="39" t="n"/>
      <c r="AB52">
        <f>COUNT(H5:H29)</f>
        <v/>
      </c>
    </row>
    <row r="53" ht="26" customHeight="1">
      <c r="A53" s="38" t="inlineStr">
        <is>
          <t>15  ▶F53</t>
        </is>
      </c>
      <c r="B53" s="11" t="inlineStr">
        <is>
          <t>비고[I5:I29] 중 비어 있는 칸의 개수.</t>
        </is>
      </c>
      <c r="C53" s="39" t="n"/>
      <c r="D53" s="39" t="n"/>
      <c r="E53" s="39" t="n"/>
      <c r="F53" s="24" t="n">
        <v>0</v>
      </c>
      <c r="G53" s="40">
        <f>IF(NOT(_xlfn.ISFORMULA(F53)),"↖ 0 지우고 수식",IF(IFERROR(ROUND(F53,4)=ROUND(AB53,4),F53=AB53),"✔ 맞음","✘ 다시"))</f>
        <v/>
      </c>
      <c r="H53" s="12" t="inlineStr">
        <is>
          <t>COUNTBLANK(범위)</t>
        </is>
      </c>
      <c r="I53" s="39" t="n"/>
      <c r="J53" s="39" t="n"/>
      <c r="K53" s="39" t="n"/>
      <c r="L53" s="39" t="n"/>
      <c r="M53" s="39" t="n"/>
      <c r="N53" s="39" t="n"/>
      <c r="AB53">
        <f>COUNTBLANK(I5:I29)</f>
        <v/>
      </c>
    </row>
    <row r="54" ht="26" customHeight="1">
      <c r="A54" s="38" t="inlineStr">
        <is>
          <t>16  ▶F54</t>
        </is>
      </c>
      <c r="B54" s="11" t="inlineStr">
        <is>
          <t>불량수[G5:G29] 가 10 이상인 날의 수.</t>
        </is>
      </c>
      <c r="C54" s="39" t="n"/>
      <c r="D54" s="39" t="n"/>
      <c r="E54" s="39" t="n"/>
      <c r="F54" s="24" t="n">
        <v>0</v>
      </c>
      <c r="G54" s="40">
        <f>IF(NOT(_xlfn.ISFORMULA(F54)),"↖ 0 지우고 수식",IF(IFERROR(ROUND(F54,4)=ROUND(AB54,4),F54=AB54),"✔ 맞음","✘ 다시"))</f>
        <v/>
      </c>
      <c r="H54" s="12" t="inlineStr">
        <is>
          <t>COUNTIF(범위, "&gt;=10") — 조건을 통째로 큰따옴표 안에</t>
        </is>
      </c>
      <c r="I54" s="39" t="n"/>
      <c r="J54" s="39" t="n"/>
      <c r="K54" s="39" t="n"/>
      <c r="L54" s="39" t="n"/>
      <c r="M54" s="39" t="n"/>
      <c r="N54" s="39" t="n"/>
      <c r="AB54">
        <f>COUNTIF(G5:G29,"&gt;=10")</f>
        <v/>
      </c>
    </row>
    <row r="55" ht="21" customHeight="1">
      <c r="A55" s="37" t="inlineStr">
        <is>
          <t xml:space="preserve">  조건부 집계 — SUMIF · AVERAGEIF · COUNTIF</t>
        </is>
      </c>
    </row>
    <row r="56" ht="26" customHeight="1">
      <c r="A56" s="38" t="inlineStr">
        <is>
          <t>17  ▶F56</t>
        </is>
      </c>
      <c r="B56" s="11" t="inlineStr">
        <is>
          <t>A라인의 생산수량 합계. (라인은 B5:B29, 생산수량은 F5:F29)</t>
        </is>
      </c>
      <c r="C56" s="39" t="n"/>
      <c r="D56" s="39" t="n"/>
      <c r="E56" s="39" t="n"/>
      <c r="F56" s="24" t="n">
        <v>0</v>
      </c>
      <c r="G56" s="40">
        <f>IF(NOT(_xlfn.ISFORMULA(F56)),"↖ 0 지우고 수식",IF(IFERROR(ROUND(F56,4)=ROUND(AB56,4),F56=AB56),"✔ 맞음","✘ 다시"))</f>
        <v/>
      </c>
      <c r="H56" s="12" t="inlineStr">
        <is>
          <t>SUMIF(조건을 볼 범위, 조건, 실제로 더할 범위)</t>
        </is>
      </c>
      <c r="I56" s="39" t="n"/>
      <c r="J56" s="39" t="n"/>
      <c r="K56" s="39" t="n"/>
      <c r="L56" s="39" t="n"/>
      <c r="M56" s="39" t="n"/>
      <c r="N56" s="39" t="n"/>
      <c r="AB56">
        <f>SUMIF($B$5:$B$29,"A",$F$5:$F$29)</f>
        <v/>
      </c>
    </row>
    <row r="57" ht="26" customHeight="1">
      <c r="A57" s="38" t="inlineStr">
        <is>
          <t>18  ▶F57</t>
        </is>
      </c>
      <c r="B57" s="11" t="inlineStr">
        <is>
          <t>A라인의 평균 불량수를 소수 둘째 자리까지.</t>
        </is>
      </c>
      <c r="C57" s="39" t="n"/>
      <c r="D57" s="39" t="n"/>
      <c r="E57" s="39" t="n"/>
      <c r="F57" s="24" t="n">
        <v>0</v>
      </c>
      <c r="G57" s="40">
        <f>IF(NOT(_xlfn.ISFORMULA(F57)),"↖ 0 지우고 수식",IF(IFERROR(ROUND(F57,4)=ROUND(AB57,4),F57=AB57),"✔ 맞음","✘ 다시"))</f>
        <v/>
      </c>
      <c r="H57" s="12" t="inlineStr">
        <is>
          <t>AVERAGEIF 를 ROUND 로 감싸기</t>
        </is>
      </c>
      <c r="I57" s="39" t="n"/>
      <c r="J57" s="39" t="n"/>
      <c r="K57" s="39" t="n"/>
      <c r="L57" s="39" t="n"/>
      <c r="M57" s="39" t="n"/>
      <c r="N57" s="39" t="n"/>
      <c r="AB57">
        <f>ROUND(AVERAGEIF($B$5:$B$29,"A",$G$5:$G$29),2)</f>
        <v/>
      </c>
    </row>
    <row r="58" ht="26" customHeight="1">
      <c r="A58" s="38" t="inlineStr">
        <is>
          <t>19  ▶F58</t>
        </is>
      </c>
      <c r="B58" s="11" t="inlineStr">
        <is>
          <t>생산수량[F5:F29] 이 500 이상인 날의 불량수 합계.</t>
        </is>
      </c>
      <c r="C58" s="39" t="n"/>
      <c r="D58" s="39" t="n"/>
      <c r="E58" s="39" t="n"/>
      <c r="F58" s="24" t="n">
        <v>0</v>
      </c>
      <c r="G58" s="40">
        <f>IF(NOT(_xlfn.ISFORMULA(F58)),"↖ 0 지우고 수식",IF(IFERROR(ROUND(F58,4)=ROUND(AB58,4),F58=AB58),"✔ 맞음","✘ 다시"))</f>
        <v/>
      </c>
      <c r="H58" s="12" t="inlineStr">
        <is>
          <t>조건을 볼 범위와 더할 범위가 다릅니다</t>
        </is>
      </c>
      <c r="I58" s="39" t="n"/>
      <c r="J58" s="39" t="n"/>
      <c r="K58" s="39" t="n"/>
      <c r="L58" s="39" t="n"/>
      <c r="M58" s="39" t="n"/>
      <c r="N58" s="39" t="n"/>
      <c r="AB58">
        <f>SUMIF($F$5:$F$29,"&gt;=500",$G$5:$G$29)</f>
        <v/>
      </c>
    </row>
    <row r="59" ht="26" customHeight="1">
      <c r="A59" s="38" t="inlineStr">
        <is>
          <t>20  ▶F59</t>
        </is>
      </c>
      <c r="B59" s="11" t="inlineStr">
        <is>
          <t>제품명[D5:D29] 이 "베어링유닛" 인 날의 생산수량 합계.</t>
        </is>
      </c>
      <c r="C59" s="39" t="n"/>
      <c r="D59" s="39" t="n"/>
      <c r="E59" s="39" t="n"/>
      <c r="F59" s="24" t="n">
        <v>0</v>
      </c>
      <c r="G59" s="40">
        <f>IF(NOT(_xlfn.ISFORMULA(F59)),"↖ 0 지우고 수식",IF(IFERROR(ROUND(F59,4)=ROUND(AB59,4),F59=AB59),"✔ 맞음","✘ 다시"))</f>
        <v/>
      </c>
      <c r="H59" s="12" t="inlineStr">
        <is>
          <t>SUMIF · 조건에 글자 그대로</t>
        </is>
      </c>
      <c r="I59" s="39" t="n"/>
      <c r="J59" s="39" t="n"/>
      <c r="K59" s="39" t="n"/>
      <c r="L59" s="39" t="n"/>
      <c r="M59" s="39" t="n"/>
      <c r="N59" s="39" t="n"/>
      <c r="AB59">
        <f>SUMIF($D$5:$D$29,"베어링유닛",$F$5:$F$29)</f>
        <v/>
      </c>
    </row>
    <row r="60" ht="26" customHeight="1">
      <c r="A60" s="38" t="inlineStr">
        <is>
          <t>21  ▶F60</t>
        </is>
      </c>
      <c r="B60" s="11" t="inlineStr">
        <is>
          <t>B라인이 나온 날의 수.</t>
        </is>
      </c>
      <c r="C60" s="39" t="n"/>
      <c r="D60" s="39" t="n"/>
      <c r="E60" s="39" t="n"/>
      <c r="F60" s="24" t="n">
        <v>0</v>
      </c>
      <c r="G60" s="40">
        <f>IF(NOT(_xlfn.ISFORMULA(F60)),"↖ 0 지우고 수식",IF(IFERROR(ROUND(F60,4)=ROUND(AB60,4),F60=AB60),"✔ 맞음","✘ 다시"))</f>
        <v/>
      </c>
      <c r="H60" s="12" t="inlineStr">
        <is>
          <t>COUNTIF(범위, "B")</t>
        </is>
      </c>
      <c r="I60" s="39" t="n"/>
      <c r="J60" s="39" t="n"/>
      <c r="K60" s="39" t="n"/>
      <c r="L60" s="39" t="n"/>
      <c r="M60" s="39" t="n"/>
      <c r="N60" s="39" t="n"/>
      <c r="AB60">
        <f>COUNTIF(B5:B29,"B")</f>
        <v/>
      </c>
    </row>
    <row r="61" ht="21" customHeight="1">
      <c r="A61" s="37" t="inlineStr">
        <is>
          <t xml:space="preserve">  수학 · 반올림 — ROUND · ROUNDUP · ROUNDDOWN · INT · MOD</t>
        </is>
      </c>
    </row>
    <row r="62" ht="26" customHeight="1">
      <c r="A62" s="38" t="inlineStr">
        <is>
          <t>22  ▶F62</t>
        </is>
      </c>
      <c r="B62" s="11" t="inlineStr">
        <is>
          <t>평균 생산수량을 십의 자리까지 올림. (예: 412 → 420)</t>
        </is>
      </c>
      <c r="C62" s="39" t="n"/>
      <c r="D62" s="39" t="n"/>
      <c r="E62" s="39" t="n"/>
      <c r="F62" s="24" t="n">
        <v>0</v>
      </c>
      <c r="G62" s="40">
        <f>IF(NOT(_xlfn.ISFORMULA(F62)),"↖ 0 지우고 수식",IF(IFERROR(ROUND(F62,4)=ROUND(AB62,4),F62=AB62),"✔ 맞음","✘ 다시"))</f>
        <v/>
      </c>
      <c r="H62" s="12" t="inlineStr">
        <is>
          <t>ROUNDUP(값, -1) — 자릿수에 음수를 쓰면 십·백의 자리</t>
        </is>
      </c>
      <c r="I62" s="39" t="n"/>
      <c r="J62" s="39" t="n"/>
      <c r="K62" s="39" t="n"/>
      <c r="L62" s="39" t="n"/>
      <c r="M62" s="39" t="n"/>
      <c r="N62" s="39" t="n"/>
      <c r="AB62">
        <f>ROUNDUP(AVERAGE(F5:F29),-1)</f>
        <v/>
      </c>
    </row>
    <row r="63" ht="26" customHeight="1">
      <c r="A63" s="38" t="inlineStr">
        <is>
          <t>23  ▶F63</t>
        </is>
      </c>
      <c r="B63" s="11" t="inlineStr">
        <is>
          <t>총 작업시간[H5:H29] 의 합계에서 소수점을 버린 값.</t>
        </is>
      </c>
      <c r="C63" s="39" t="n"/>
      <c r="D63" s="39" t="n"/>
      <c r="E63" s="39" t="n"/>
      <c r="F63" s="24" t="n">
        <v>0</v>
      </c>
      <c r="G63" s="40">
        <f>IF(NOT(_xlfn.ISFORMULA(F63)),"↖ 0 지우고 수식",IF(IFERROR(ROUND(F63,4)=ROUND(AB63,4),F63=AB63),"✔ 맞음","✘ 다시"))</f>
        <v/>
      </c>
      <c r="H63" s="12" t="inlineStr">
        <is>
          <t>ROUNDDOWN(값, 0)</t>
        </is>
      </c>
      <c r="I63" s="39" t="n"/>
      <c r="J63" s="39" t="n"/>
      <c r="K63" s="39" t="n"/>
      <c r="L63" s="39" t="n"/>
      <c r="M63" s="39" t="n"/>
      <c r="N63" s="39" t="n"/>
      <c r="AB63">
        <f>ROUNDDOWN(SUM(H5:H29),0)</f>
        <v/>
      </c>
    </row>
    <row r="64" ht="26" customHeight="1">
      <c r="A64" s="38" t="inlineStr">
        <is>
          <t>24  ▶F64</t>
        </is>
      </c>
      <c r="B64" s="11" t="inlineStr">
        <is>
          <t>총 생산수량을 500 으로 나눈 나머지. (500개들이 상자에 담고 남는 수)</t>
        </is>
      </c>
      <c r="C64" s="39" t="n"/>
      <c r="D64" s="39" t="n"/>
      <c r="E64" s="39" t="n"/>
      <c r="F64" s="24" t="n">
        <v>0</v>
      </c>
      <c r="G64" s="40">
        <f>IF(NOT(_xlfn.ISFORMULA(F64)),"↖ 0 지우고 수식",IF(IFERROR(ROUND(F64,4)=ROUND(AB64,4),F64=AB64),"✔ 맞음","✘ 다시"))</f>
        <v/>
      </c>
      <c r="H64" s="12" t="inlineStr">
        <is>
          <t>MOD(나눌 값, 나누는 수)</t>
        </is>
      </c>
      <c r="I64" s="39" t="n"/>
      <c r="J64" s="39" t="n"/>
      <c r="K64" s="39" t="n"/>
      <c r="L64" s="39" t="n"/>
      <c r="M64" s="39" t="n"/>
      <c r="N64" s="39" t="n"/>
      <c r="AB64">
        <f>MOD(SUM(F5:F29),500)</f>
        <v/>
      </c>
    </row>
    <row r="65" ht="26" customHeight="1">
      <c r="A65" s="38" t="inlineStr">
        <is>
          <t>25  ▶F65</t>
        </is>
      </c>
      <c r="B65" s="11" t="inlineStr">
        <is>
          <t>총 생산수량을 500 으로 나눈 몫. (상자 개수)</t>
        </is>
      </c>
      <c r="C65" s="39" t="n"/>
      <c r="D65" s="39" t="n"/>
      <c r="E65" s="39" t="n"/>
      <c r="F65" s="24" t="n">
        <v>0</v>
      </c>
      <c r="G65" s="40">
        <f>IF(NOT(_xlfn.ISFORMULA(F65)),"↖ 0 지우고 수식",IF(IFERROR(ROUND(F65,4)=ROUND(AB65,4),F65=AB65),"✔ 맞음","✘ 다시"))</f>
        <v/>
      </c>
      <c r="H65" s="12" t="inlineStr">
        <is>
          <t>INT(값) — 소수점을 버려 정수로</t>
        </is>
      </c>
      <c r="I65" s="39" t="n"/>
      <c r="J65" s="39" t="n"/>
      <c r="K65" s="39" t="n"/>
      <c r="L65" s="39" t="n"/>
      <c r="M65" s="39" t="n"/>
      <c r="N65" s="39" t="n"/>
      <c r="AB65">
        <f>INT(SUM(F5:F29)/500)</f>
        <v/>
      </c>
    </row>
    <row r="66" ht="21" customHeight="1">
      <c r="A66" s="37" t="inlineStr">
        <is>
          <t xml:space="preserve">  문자열 — LEFT · RIGHT · MID · LEN · TRIM · &amp;</t>
        </is>
      </c>
    </row>
    <row r="67" ht="26" customHeight="1">
      <c r="A67" s="38" t="inlineStr">
        <is>
          <t>26  ▶F67</t>
        </is>
      </c>
      <c r="B67" s="11" t="inlineStr">
        <is>
          <t>제품코드[C5] 의 앞 2글자. (품목 구분)</t>
        </is>
      </c>
      <c r="C67" s="39" t="n"/>
      <c r="D67" s="39" t="n"/>
      <c r="E67" s="39" t="n"/>
      <c r="F67" s="24" t="n">
        <v>0</v>
      </c>
      <c r="G67" s="40">
        <f>IF(NOT(_xlfn.ISFORMULA(F67)),"↖ 0 지우고 수식",IF(IFERROR(ROUND(F67,4)=ROUND(AB67,4),F67=AB67),"✔ 맞음","✘ 다시"))</f>
        <v/>
      </c>
      <c r="H67" s="12" t="inlineStr">
        <is>
          <t>LEFT(글자, 개수)</t>
        </is>
      </c>
      <c r="I67" s="39" t="n"/>
      <c r="J67" s="39" t="n"/>
      <c r="K67" s="39" t="n"/>
      <c r="L67" s="39" t="n"/>
      <c r="M67" s="39" t="n"/>
      <c r="N67" s="39" t="n"/>
      <c r="AB67">
        <f>LEFT(C5,2)</f>
        <v/>
      </c>
    </row>
    <row r="68" ht="26" customHeight="1">
      <c r="A68" s="38" t="inlineStr">
        <is>
          <t>27  ▶F68</t>
        </is>
      </c>
      <c r="B68" s="11" t="inlineStr">
        <is>
          <t>제품코드[C5] 의 뒤 2글자. (일련번호)</t>
        </is>
      </c>
      <c r="C68" s="39" t="n"/>
      <c r="D68" s="39" t="n"/>
      <c r="E68" s="39" t="n"/>
      <c r="F68" s="24" t="n">
        <v>0</v>
      </c>
      <c r="G68" s="40">
        <f>IF(NOT(_xlfn.ISFORMULA(F68)),"↖ 0 지우고 수식",IF(IFERROR(ROUND(F68,4)=ROUND(AB68,4),F68=AB68),"✔ 맞음","✘ 다시"))</f>
        <v/>
      </c>
      <c r="H68" s="12" t="inlineStr">
        <is>
          <t>RIGHT(글자, 개수)</t>
        </is>
      </c>
      <c r="I68" s="39" t="n"/>
      <c r="J68" s="39" t="n"/>
      <c r="K68" s="39" t="n"/>
      <c r="L68" s="39" t="n"/>
      <c r="M68" s="39" t="n"/>
      <c r="N68" s="39" t="n"/>
      <c r="AB68">
        <f>RIGHT(C5,2)</f>
        <v/>
      </c>
    </row>
    <row r="69" ht="26" customHeight="1">
      <c r="A69" s="38" t="inlineStr">
        <is>
          <t>28  ▶F69</t>
        </is>
      </c>
      <c r="B69" s="11" t="inlineStr">
        <is>
          <t>제품코드[C5] 의 4번째 글자부터 2글자.</t>
        </is>
      </c>
      <c r="C69" s="39" t="n"/>
      <c r="D69" s="39" t="n"/>
      <c r="E69" s="39" t="n"/>
      <c r="F69" s="24" t="n">
        <v>0</v>
      </c>
      <c r="G69" s="40">
        <f>IF(NOT(_xlfn.ISFORMULA(F69)),"↖ 0 지우고 수식",IF(IFERROR(ROUND(F69,4)=ROUND(AB69,4),F69=AB69),"✔ 맞음","✘ 다시"))</f>
        <v/>
      </c>
      <c r="H69" s="12" t="inlineStr">
        <is>
          <t>MID(글자, 시작 위치, 개수)</t>
        </is>
      </c>
      <c r="I69" s="39" t="n"/>
      <c r="J69" s="39" t="n"/>
      <c r="K69" s="39" t="n"/>
      <c r="L69" s="39" t="n"/>
      <c r="M69" s="39" t="n"/>
      <c r="N69" s="39" t="n"/>
      <c r="AB69">
        <f>MID(C5,4,2)</f>
        <v/>
      </c>
    </row>
    <row r="70" ht="26" customHeight="1">
      <c r="A70" s="38" t="inlineStr">
        <is>
          <t>29  ▶F70</t>
        </is>
      </c>
      <c r="B70" s="11" t="inlineStr">
        <is>
          <t>제품코드[C5] 가 모두 몇 글자인가.</t>
        </is>
      </c>
      <c r="C70" s="39" t="n"/>
      <c r="D70" s="39" t="n"/>
      <c r="E70" s="39" t="n"/>
      <c r="F70" s="24" t="n">
        <v>0</v>
      </c>
      <c r="G70" s="40">
        <f>IF(NOT(_xlfn.ISFORMULA(F70)),"↖ 0 지우고 수식",IF(IFERROR(ROUND(F70,4)=ROUND(AB70,4),F70=AB70),"✔ 맞음","✘ 다시"))</f>
        <v/>
      </c>
      <c r="H70" s="12" t="inlineStr">
        <is>
          <t>LEN(글자)</t>
        </is>
      </c>
      <c r="I70" s="39" t="n"/>
      <c r="J70" s="39" t="n"/>
      <c r="K70" s="39" t="n"/>
      <c r="L70" s="39" t="n"/>
      <c r="M70" s="39" t="n"/>
      <c r="N70" s="39" t="n"/>
      <c r="AB70">
        <f>LEN(C5)</f>
        <v/>
      </c>
    </row>
    <row r="71" ht="26" customHeight="1">
      <c r="A71" s="38" t="inlineStr">
        <is>
          <t>30  ▶F71</t>
        </is>
      </c>
      <c r="B71" s="11" t="inlineStr">
        <is>
          <t>라인[B5] 뒤에 "라인" 을 붙여  A라인  처럼 나오게.</t>
        </is>
      </c>
      <c r="C71" s="39" t="n"/>
      <c r="D71" s="39" t="n"/>
      <c r="E71" s="39" t="n"/>
      <c r="F71" s="24" t="n">
        <v>0</v>
      </c>
      <c r="G71" s="40">
        <f>IF(NOT(_xlfn.ISFORMULA(F71)),"↖ 0 지우고 수식",IF(IFERROR(ROUND(F71,4)=ROUND(AB71,4),F71=AB71),"✔ 맞음","✘ 다시"))</f>
        <v/>
      </c>
      <c r="H71" s="12" t="inlineStr">
        <is>
          <t>&amp; 로 이어 붙이기</t>
        </is>
      </c>
      <c r="I71" s="39" t="n"/>
      <c r="J71" s="39" t="n"/>
      <c r="K71" s="39" t="n"/>
      <c r="L71" s="39" t="n"/>
      <c r="M71" s="39" t="n"/>
      <c r="N71" s="39" t="n"/>
      <c r="AB71">
        <f>B5&amp;"라인"</f>
        <v/>
      </c>
    </row>
    <row r="72" ht="26" customHeight="1">
      <c r="A72" s="38" t="inlineStr">
        <is>
          <t>31  ▶F72</t>
        </is>
      </c>
      <c r="B72" s="11" t="inlineStr">
        <is>
          <t>비고[I5] 의 앞뒤 공백을 없앤 글자. (I5 에는 앞뒤로 빈칸이 들어 있습니다)</t>
        </is>
      </c>
      <c r="C72" s="39" t="n"/>
      <c r="D72" s="39" t="n"/>
      <c r="E72" s="39" t="n"/>
      <c r="F72" s="24" t="n">
        <v>0</v>
      </c>
      <c r="G72" s="40">
        <f>IF(NOT(_xlfn.ISFORMULA(F72)),"↖ 0 지우고 수식",IF(IFERROR(ROUND(F72,4)=ROUND(AB72,4),F72=AB72),"✔ 맞음","✘ 다시"))</f>
        <v/>
      </c>
      <c r="H72" s="12" t="inlineStr">
        <is>
          <t>TRIM(글자)</t>
        </is>
      </c>
      <c r="I72" s="39" t="n"/>
      <c r="J72" s="39" t="n"/>
      <c r="K72" s="39" t="n"/>
      <c r="L72" s="39" t="n"/>
      <c r="M72" s="39" t="n"/>
      <c r="N72" s="39" t="n"/>
      <c r="AB72">
        <f>TRIM(I5)</f>
        <v/>
      </c>
    </row>
    <row r="73" ht="21" customHeight="1">
      <c r="A73" s="37" t="inlineStr">
        <is>
          <t xml:space="preserve">  찾기 · 참조 — VLOOKUP · INDEX · MATCH · CHOOSE</t>
        </is>
      </c>
    </row>
    <row r="74" ht="26" customHeight="1">
      <c r="A74" s="38" t="inlineStr">
        <is>
          <t>32  ▶F74</t>
        </is>
      </c>
      <c r="B74" s="11" t="inlineStr">
        <is>
          <t>제품코드[C5] 에 해당하는 단가를 오른쪽 단가표[P5:R8] 에서 찾아오시오.</t>
        </is>
      </c>
      <c r="C74" s="39" t="n"/>
      <c r="D74" s="39" t="n"/>
      <c r="E74" s="39" t="n"/>
      <c r="F74" s="26" t="n">
        <v>0</v>
      </c>
      <c r="G74" s="40">
        <f>IF(NOT(_xlfn.ISFORMULA(F74)),"↖ 0 지우고 수식",IF(IFERROR(ROUND(F74,4)=ROUND(AB74,4),F74=AB74),"✔ 맞음","✘ 다시"))</f>
        <v/>
      </c>
      <c r="H74" s="12" t="inlineStr">
        <is>
          <t>VLOOKUP(찾을 값, 표, 몇 번째 열, FALSE) · 표는 $ 로 고정</t>
        </is>
      </c>
      <c r="I74" s="39" t="n"/>
      <c r="J74" s="39" t="n"/>
      <c r="K74" s="39" t="n"/>
      <c r="L74" s="39" t="n"/>
      <c r="M74" s="39" t="n"/>
      <c r="N74" s="39" t="n"/>
      <c r="AB74">
        <f>VLOOKUP(C5,$P$5:$R$8,3,FALSE)</f>
        <v/>
      </c>
    </row>
    <row r="75" ht="26" customHeight="1">
      <c r="A75" s="38" t="inlineStr">
        <is>
          <t>33  ▶F75</t>
        </is>
      </c>
      <c r="B75" s="11" t="inlineStr">
        <is>
          <t>제품코드[C6] 에 해당하는 제품명을 단가표에서 찾아오시오.</t>
        </is>
      </c>
      <c r="C75" s="39" t="n"/>
      <c r="D75" s="39" t="n"/>
      <c r="E75" s="39" t="n"/>
      <c r="F75" s="24" t="n">
        <v>0</v>
      </c>
      <c r="G75" s="40">
        <f>IF(NOT(_xlfn.ISFORMULA(F75)),"↖ 0 지우고 수식",IF(IFERROR(ROUND(F75,4)=ROUND(AB75,4),F75=AB75),"✔ 맞음","✘ 다시"))</f>
        <v/>
      </c>
      <c r="H75" s="12" t="inlineStr">
        <is>
          <t>같은 VLOOKUP 인데 가져올 열 번호만 다릅니다</t>
        </is>
      </c>
      <c r="I75" s="39" t="n"/>
      <c r="J75" s="39" t="n"/>
      <c r="K75" s="39" t="n"/>
      <c r="L75" s="39" t="n"/>
      <c r="M75" s="39" t="n"/>
      <c r="N75" s="39" t="n"/>
      <c r="AB75">
        <f>VLOOKUP(C6,$P$5:$R$8,2,FALSE)</f>
        <v/>
      </c>
    </row>
    <row r="76" ht="26" customHeight="1">
      <c r="A76" s="38" t="inlineStr">
        <is>
          <t>34  ▶F76</t>
        </is>
      </c>
      <c r="B76" s="11" t="inlineStr">
        <is>
          <t>생산수량이 가장 많았던 날의 제품명.</t>
        </is>
      </c>
      <c r="C76" s="39" t="n"/>
      <c r="D76" s="39" t="n"/>
      <c r="E76" s="39" t="n"/>
      <c r="F76" s="24" t="n">
        <v>0</v>
      </c>
      <c r="G76" s="40">
        <f>IF(NOT(_xlfn.ISFORMULA(F76)),"↖ 0 지우고 수식",IF(IFERROR(ROUND(F76,4)=ROUND(AB76,4),F76=AB76),"✔ 맞음","✘ 다시"))</f>
        <v/>
      </c>
      <c r="H76" s="12" t="inlineStr">
        <is>
          <t>MATCH 로 '몇 번째 줄인지' 찾고 INDEX 로 그 자리의 값을 꺼냅니다</t>
        </is>
      </c>
      <c r="I76" s="39" t="n"/>
      <c r="J76" s="39" t="n"/>
      <c r="K76" s="39" t="n"/>
      <c r="L76" s="39" t="n"/>
      <c r="M76" s="39" t="n"/>
      <c r="N76" s="39" t="n"/>
      <c r="AB76">
        <f>INDEX(D5:D29,MATCH(MAX(F5:F29),F5:F29,0))</f>
        <v/>
      </c>
    </row>
    <row r="77" ht="26" customHeight="1">
      <c r="A77" s="38" t="inlineStr">
        <is>
          <t>35  ▶F77</t>
        </is>
      </c>
      <c r="B77" s="11" t="inlineStr">
        <is>
          <t>첫 기록[A5] 의 요일을 "월" 처럼 한 글자로. (일요일=1)</t>
        </is>
      </c>
      <c r="C77" s="39" t="n"/>
      <c r="D77" s="39" t="n"/>
      <c r="E77" s="39" t="n"/>
      <c r="F77" s="24" t="n">
        <v>0</v>
      </c>
      <c r="G77" s="40">
        <f>IF(NOT(_xlfn.ISFORMULA(F77)),"↖ 0 지우고 수식",IF(IFERROR(ROUND(F77,4)=ROUND(AB77,4),F77=AB77),"✔ 맞음","✘ 다시"))</f>
        <v/>
      </c>
      <c r="H77" s="12" t="inlineStr">
        <is>
          <t>CHOOSE(번호, 1번, 2번, …) 와 WEEKDAY 를 겹쳐서</t>
        </is>
      </c>
      <c r="I77" s="39" t="n"/>
      <c r="J77" s="39" t="n"/>
      <c r="K77" s="39" t="n"/>
      <c r="L77" s="39" t="n"/>
      <c r="M77" s="39" t="n"/>
      <c r="N77" s="39" t="n"/>
      <c r="AB77">
        <f>CHOOSE(WEEKDAY(A5),"일","월","화","수","목","금","토")</f>
        <v/>
      </c>
    </row>
    <row r="78" ht="21" customHeight="1">
      <c r="A78" s="37" t="inlineStr">
        <is>
          <t xml:space="preserve">  날짜 — MONTH · DAY · WEEKDAY · DAYS</t>
        </is>
      </c>
    </row>
    <row r="79" ht="26" customHeight="1">
      <c r="A79" s="38" t="inlineStr">
        <is>
          <t>36  ▶F79</t>
        </is>
      </c>
      <c r="B79" s="11" t="inlineStr">
        <is>
          <t>첫 기록[A5] 의 '월' 만 숫자로.</t>
        </is>
      </c>
      <c r="C79" s="39" t="n"/>
      <c r="D79" s="39" t="n"/>
      <c r="E79" s="39" t="n"/>
      <c r="F79" s="24" t="n">
        <v>0</v>
      </c>
      <c r="G79" s="40">
        <f>IF(NOT(_xlfn.ISFORMULA(F79)),"↖ 0 지우고 수식",IF(IFERROR(ROUND(F79,4)=ROUND(AB79,4),F79=AB79),"✔ 맞음","✘ 다시"))</f>
        <v/>
      </c>
      <c r="H79" s="12" t="inlineStr">
        <is>
          <t>MONTH(날짜)</t>
        </is>
      </c>
      <c r="I79" s="39" t="n"/>
      <c r="J79" s="39" t="n"/>
      <c r="K79" s="39" t="n"/>
      <c r="L79" s="39" t="n"/>
      <c r="M79" s="39" t="n"/>
      <c r="N79" s="39" t="n"/>
      <c r="AB79">
        <f>MONTH(A5)</f>
        <v/>
      </c>
    </row>
    <row r="80" ht="26" customHeight="1">
      <c r="A80" s="38" t="inlineStr">
        <is>
          <t>37  ▶F80</t>
        </is>
      </c>
      <c r="B80" s="11" t="inlineStr">
        <is>
          <t>첫 기록[A5] 의 '일' 만 숫자로.</t>
        </is>
      </c>
      <c r="C80" s="39" t="n"/>
      <c r="D80" s="39" t="n"/>
      <c r="E80" s="39" t="n"/>
      <c r="F80" s="24" t="n">
        <v>0</v>
      </c>
      <c r="G80" s="40">
        <f>IF(NOT(_xlfn.ISFORMULA(F80)),"↖ 0 지우고 수식",IF(IFERROR(ROUND(F80,4)=ROUND(AB80,4),F80=AB80),"✔ 맞음","✘ 다시"))</f>
        <v/>
      </c>
      <c r="H80" s="12" t="inlineStr">
        <is>
          <t>DAY(날짜)</t>
        </is>
      </c>
      <c r="I80" s="39" t="n"/>
      <c r="J80" s="39" t="n"/>
      <c r="K80" s="39" t="n"/>
      <c r="L80" s="39" t="n"/>
      <c r="M80" s="39" t="n"/>
      <c r="N80" s="39" t="n"/>
      <c r="AB80">
        <f>DAY(A5)</f>
        <v/>
      </c>
    </row>
    <row r="81" ht="26" customHeight="1">
      <c r="A81" s="38" t="inlineStr">
        <is>
          <t>38  ▶F81</t>
        </is>
      </c>
      <c r="B81" s="11" t="inlineStr">
        <is>
          <t>첫 기록[A5] 의 요일 번호. (월요일이 1 이 되게)</t>
        </is>
      </c>
      <c r="C81" s="39" t="n"/>
      <c r="D81" s="39" t="n"/>
      <c r="E81" s="39" t="n"/>
      <c r="F81" s="24" t="n">
        <v>0</v>
      </c>
      <c r="G81" s="40">
        <f>IF(NOT(_xlfn.ISFORMULA(F81)),"↖ 0 지우고 수식",IF(IFERROR(ROUND(F81,4)=ROUND(AB81,4),F81=AB81),"✔ 맞음","✘ 다시"))</f>
        <v/>
      </c>
      <c r="H81" s="12" t="inlineStr">
        <is>
          <t>WEEKDAY(날짜, 2)</t>
        </is>
      </c>
      <c r="I81" s="39" t="n"/>
      <c r="J81" s="39" t="n"/>
      <c r="K81" s="39" t="n"/>
      <c r="L81" s="39" t="n"/>
      <c r="M81" s="39" t="n"/>
      <c r="N81" s="39" t="n"/>
      <c r="AB81">
        <f>WEEKDAY(A5,2)</f>
        <v/>
      </c>
    </row>
    <row r="82" ht="26" customHeight="1">
      <c r="A82" s="38" t="inlineStr">
        <is>
          <t>39  ▶F82</t>
        </is>
      </c>
      <c r="B82" s="11" t="inlineStr">
        <is>
          <t>첫 기록[A5] 부터 마지막 기록[A29] 까지 며칠인가.</t>
        </is>
      </c>
      <c r="C82" s="39" t="n"/>
      <c r="D82" s="39" t="n"/>
      <c r="E82" s="39" t="n"/>
      <c r="F82" s="24" t="n">
        <v>0</v>
      </c>
      <c r="G82" s="40">
        <f>IF(NOT(_xlfn.ISFORMULA(F82)),"↖ 0 지우고 수식",IF(IFERROR(ROUND(F82,4)=ROUND(AB82,4),F82=AB82),"✔ 맞음","✘ 다시"))</f>
        <v/>
      </c>
      <c r="H82" s="12" t="inlineStr">
        <is>
          <t>DAYS(늦은 날, 이른 날)</t>
        </is>
      </c>
      <c r="I82" s="39" t="n"/>
      <c r="J82" s="39" t="n"/>
      <c r="K82" s="39" t="n"/>
      <c r="L82" s="39" t="n"/>
      <c r="M82" s="39" t="n"/>
      <c r="N82" s="39" t="n"/>
      <c r="AB82">
        <f>_xlfn.DAYS(A29,A5)</f>
        <v/>
      </c>
    </row>
    <row r="84" ht="30" customHeight="1">
      <c r="A84" s="6" t="inlineStr">
        <is>
          <t>조건에 글자를 쓸 때는 "A" 처럼 큰따옴표로 감쌉니다. 범위를 끌어 채울 때는 F4 를 눌러 $F$5:$F$29 처럼 고정하세요.</t>
        </is>
      </c>
    </row>
  </sheetData>
  <mergeCells count="93">
    <mergeCell ref="H80:N80"/>
    <mergeCell ref="H37:N37"/>
    <mergeCell ref="B65:E65"/>
    <mergeCell ref="B74:E74"/>
    <mergeCell ref="H65:N65"/>
    <mergeCell ref="B68:E68"/>
    <mergeCell ref="H62:N62"/>
    <mergeCell ref="H71:N71"/>
    <mergeCell ref="B76:E76"/>
    <mergeCell ref="B45:E45"/>
    <mergeCell ref="A61:N61"/>
    <mergeCell ref="H43:N43"/>
    <mergeCell ref="B47:E47"/>
    <mergeCell ref="H54:N54"/>
    <mergeCell ref="H63:N63"/>
    <mergeCell ref="H74:N74"/>
    <mergeCell ref="H56:N56"/>
    <mergeCell ref="H68:N68"/>
    <mergeCell ref="B39:E39"/>
    <mergeCell ref="H49:N49"/>
    <mergeCell ref="B69:E69"/>
    <mergeCell ref="B38:E38"/>
    <mergeCell ref="H69:N69"/>
    <mergeCell ref="B40:E40"/>
    <mergeCell ref="H75:N75"/>
    <mergeCell ref="B49:E49"/>
    <mergeCell ref="A34:N34"/>
    <mergeCell ref="B64:E64"/>
    <mergeCell ref="B51:E51"/>
    <mergeCell ref="H48:N48"/>
    <mergeCell ref="A36:N36"/>
    <mergeCell ref="A1:N1"/>
    <mergeCell ref="B63:E63"/>
    <mergeCell ref="B35:E35"/>
    <mergeCell ref="A78:N78"/>
    <mergeCell ref="H38:N38"/>
    <mergeCell ref="A55:N55"/>
    <mergeCell ref="H58:N58"/>
    <mergeCell ref="H40:N40"/>
    <mergeCell ref="B77:E77"/>
    <mergeCell ref="A32:N32"/>
    <mergeCell ref="H60:N60"/>
    <mergeCell ref="B67:E67"/>
    <mergeCell ref="B53:E53"/>
    <mergeCell ref="B37:E37"/>
    <mergeCell ref="H57:N57"/>
    <mergeCell ref="H77:N77"/>
    <mergeCell ref="B80:E80"/>
    <mergeCell ref="H42:N42"/>
    <mergeCell ref="B79:E79"/>
    <mergeCell ref="B54:E54"/>
    <mergeCell ref="H67:N67"/>
    <mergeCell ref="B72:E72"/>
    <mergeCell ref="B81:E81"/>
    <mergeCell ref="A84:N84"/>
    <mergeCell ref="A66:N66"/>
    <mergeCell ref="B56:E56"/>
    <mergeCell ref="B71:E71"/>
    <mergeCell ref="H44:N44"/>
    <mergeCell ref="A50:N50"/>
    <mergeCell ref="B43:E43"/>
    <mergeCell ref="B58:E58"/>
    <mergeCell ref="A2:N2"/>
    <mergeCell ref="B52:E52"/>
    <mergeCell ref="H59:N59"/>
    <mergeCell ref="H46:N46"/>
    <mergeCell ref="B42:E42"/>
    <mergeCell ref="H64:N64"/>
    <mergeCell ref="B60:E60"/>
    <mergeCell ref="H51:N51"/>
    <mergeCell ref="B57:E57"/>
    <mergeCell ref="H79:N79"/>
    <mergeCell ref="H70:N70"/>
    <mergeCell ref="B44:E44"/>
    <mergeCell ref="H45:N45"/>
    <mergeCell ref="H81:N81"/>
    <mergeCell ref="H47:N47"/>
    <mergeCell ref="A73:N73"/>
    <mergeCell ref="H76:N76"/>
    <mergeCell ref="B75:E75"/>
    <mergeCell ref="B62:E62"/>
    <mergeCell ref="H53:N53"/>
    <mergeCell ref="H82:N82"/>
    <mergeCell ref="H35:N35"/>
    <mergeCell ref="A41:N41"/>
    <mergeCell ref="B59:E59"/>
    <mergeCell ref="B46:E46"/>
    <mergeCell ref="B70:E70"/>
    <mergeCell ref="B48:E48"/>
    <mergeCell ref="H39:N39"/>
    <mergeCell ref="H52:N52"/>
    <mergeCell ref="B82:E82"/>
    <mergeCell ref="H72:N72"/>
  </mergeCells>
  <conditionalFormatting sqref="J31:N31">
    <cfRule type="expression" priority="1" dxfId="0">
      <formula>ISNUMBER(SEARCH("맞",J31))</formula>
    </cfRule>
    <cfRule type="expression" priority="2" dxfId="1">
      <formula>ISNUMBER(SEARCH("다시",J31))</formula>
    </cfRule>
  </conditionalFormatting>
  <conditionalFormatting sqref="G36:G82">
    <cfRule type="expression" priority="3" dxfId="0">
      <formula>ISNUMBER(SEARCH("맞",G36))</formula>
    </cfRule>
    <cfRule type="expression" priority="4" dxfId="1">
      <formula>ISNUMBER(SEARCH("다시",G36))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4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1" customWidth="1" min="7" max="7"/>
    <col width="13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6" customHeight="1">
      <c r="A1" s="5" t="inlineStr">
        <is>
          <t>데이터베이스 함수 — 조건 표를 따로 만들어 쓰는 함수</t>
        </is>
      </c>
    </row>
    <row r="2" ht="30" customHeight="1">
      <c r="A2" s="6" t="inlineStr">
        <is>
          <t>D 로 시작하는 함수는 (전체 표, "필드 이름", 조건 표) 세 가지를 받습니다. 조건 표의 머리글은 '생산일보' 시트 4행의 머리글과 글자가 똑같아야 합니다.</t>
        </is>
      </c>
    </row>
    <row r="4" ht="26" customHeight="1">
      <c r="A4" s="42" t="inlineStr">
        <is>
          <t>조건 표 ①  A5:A6  — A라인만</t>
        </is>
      </c>
    </row>
    <row r="5" ht="24" customHeight="1">
      <c r="A5" s="16" t="inlineStr">
        <is>
          <t>라인</t>
        </is>
      </c>
    </row>
    <row r="6">
      <c r="A6" s="19" t="inlineStr">
        <is>
          <t>A</t>
        </is>
      </c>
    </row>
    <row r="8" ht="26" customHeight="1">
      <c r="A8" s="42" t="inlineStr">
        <is>
          <t>조건 표 ②  A9:A10  — 불량수 10 이상</t>
        </is>
      </c>
    </row>
    <row r="9" ht="24" customHeight="1">
      <c r="A9" s="16" t="inlineStr">
        <is>
          <t>불량수</t>
        </is>
      </c>
    </row>
    <row r="10">
      <c r="A10" s="19" t="inlineStr">
        <is>
          <t>&gt;=10</t>
        </is>
      </c>
    </row>
    <row r="12" ht="26" customHeight="1">
      <c r="A12" s="42" t="inlineStr">
        <is>
          <t>조건 표 ③  A13:B14  — B라인이면서 생산수량 300 이상</t>
        </is>
      </c>
    </row>
    <row r="13" ht="24" customHeight="1">
      <c r="A13" s="16" t="inlineStr">
        <is>
          <t>라인</t>
        </is>
      </c>
      <c r="B13" s="16" t="inlineStr">
        <is>
          <t>생산수량</t>
        </is>
      </c>
    </row>
    <row r="14">
      <c r="A14" s="19" t="inlineStr">
        <is>
          <t>B</t>
        </is>
      </c>
      <c r="B14" s="19" t="inlineStr">
        <is>
          <t>&gt;=300</t>
        </is>
      </c>
    </row>
    <row r="16" ht="26" customHeight="1">
      <c r="A16" s="42" t="inlineStr">
        <is>
          <t>조건 표 ④  A17:A19  — A라인 또는 C라인</t>
        </is>
      </c>
    </row>
    <row r="17" ht="24" customHeight="1">
      <c r="A17" s="16" t="inlineStr">
        <is>
          <t>라인</t>
        </is>
      </c>
    </row>
    <row r="18">
      <c r="A18" s="19" t="inlineStr">
        <is>
          <t>A</t>
        </is>
      </c>
    </row>
    <row r="19">
      <c r="A19" s="19" t="inlineStr">
        <is>
          <t>C</t>
        </is>
      </c>
    </row>
    <row r="21" ht="26" customHeight="1">
      <c r="A21" s="42" t="inlineStr">
        <is>
          <t>조건 표 ⑤  A22:A23  — 제품명이 감속기어</t>
        </is>
      </c>
    </row>
    <row r="22" ht="24" customHeight="1">
      <c r="A22" s="16" t="inlineStr">
        <is>
          <t>제품명</t>
        </is>
      </c>
    </row>
    <row r="23">
      <c r="A23" s="19" t="inlineStr">
        <is>
          <t>감속기어</t>
        </is>
      </c>
    </row>
    <row r="25" ht="26" customHeight="1">
      <c r="A25" s="5" t="inlineStr">
        <is>
          <t>■ 데이터베이스 함수 10문제 — ▶ 표시된 칸(F열)에</t>
        </is>
      </c>
    </row>
    <row r="26" ht="26" customHeight="1">
      <c r="A26" s="16" t="inlineStr">
        <is>
          <t>번호 ▶ 넣을 칸</t>
        </is>
      </c>
      <c r="B26" s="16" t="inlineStr">
        <is>
          <t>문제 — 무엇을 구하나</t>
        </is>
      </c>
      <c r="C26" s="35" t="n"/>
      <c r="D26" s="35" t="n"/>
      <c r="E26" s="36" t="n"/>
      <c r="F26" s="16" t="inlineStr">
        <is>
          <t>답</t>
        </is>
      </c>
      <c r="G26" s="16" t="inlineStr">
        <is>
          <t>채점</t>
        </is>
      </c>
      <c r="H26" s="16" t="inlineStr">
        <is>
          <t>힌트 — 쓰는 함수</t>
        </is>
      </c>
      <c r="I26" s="35" t="n"/>
      <c r="J26" s="35" t="n"/>
      <c r="K26" s="35" t="n"/>
      <c r="L26" s="35" t="n"/>
      <c r="M26" s="35" t="n"/>
      <c r="N26" s="36" t="n"/>
    </row>
    <row r="27" ht="21" customHeight="1">
      <c r="A27" s="37" t="inlineStr">
        <is>
          <t xml:space="preserve">  조건이 하나일 때</t>
        </is>
      </c>
    </row>
    <row r="28" ht="26" customHeight="1">
      <c r="A28" s="38" t="inlineStr">
        <is>
          <t>1  ▶F28</t>
        </is>
      </c>
      <c r="B28" s="11" t="inlineStr">
        <is>
          <t>A라인의 생산수량 합계.  (조건 표 ① A5:A6 을 쓰시오)</t>
        </is>
      </c>
      <c r="C28" s="39" t="n"/>
      <c r="D28" s="39" t="n"/>
      <c r="E28" s="39" t="n"/>
      <c r="F28" s="24" t="n">
        <v>0</v>
      </c>
      <c r="G28" s="40">
        <f>IF(NOT(_xlfn.ISFORMULA(F28)),"↖ 0 지우고 수식",IF(IFERROR(ROUND(F28,4)=ROUND(AB28,4),F28=AB28),"✔ 맞음","✘ 다시"))</f>
        <v/>
      </c>
      <c r="H28" s="12" t="inlineStr">
        <is>
          <t>DSUM(전체 표, "필드 이름", 조건 표)</t>
        </is>
      </c>
      <c r="I28" s="39" t="n"/>
      <c r="J28" s="39" t="n"/>
      <c r="K28" s="39" t="n"/>
      <c r="L28" s="39" t="n"/>
      <c r="M28" s="39" t="n"/>
      <c r="N28" s="39" t="n"/>
      <c r="AB28">
        <f>DSUM(생산일보!$A$4:$N$29,"생산수량",A5:A6)</f>
        <v/>
      </c>
    </row>
    <row r="29" ht="26" customHeight="1">
      <c r="A29" s="38" t="inlineStr">
        <is>
          <t>2  ▶F29</t>
        </is>
      </c>
      <c r="B29" s="11" t="inlineStr">
        <is>
          <t>A라인의 평균 불량수.  (조건 표 ①)</t>
        </is>
      </c>
      <c r="C29" s="39" t="n"/>
      <c r="D29" s="39" t="n"/>
      <c r="E29" s="39" t="n"/>
      <c r="F29" s="24" t="n">
        <v>0</v>
      </c>
      <c r="G29" s="40">
        <f>IF(NOT(_xlfn.ISFORMULA(F29)),"↖ 0 지우고 수식",IF(IFERROR(ROUND(F29,4)=ROUND(AB29,4),F29=AB29),"✔ 맞음","✘ 다시"))</f>
        <v/>
      </c>
      <c r="H29" s="12" t="inlineStr">
        <is>
          <t>DAVERAGE</t>
        </is>
      </c>
      <c r="I29" s="39" t="n"/>
      <c r="J29" s="39" t="n"/>
      <c r="K29" s="39" t="n"/>
      <c r="L29" s="39" t="n"/>
      <c r="M29" s="39" t="n"/>
      <c r="N29" s="39" t="n"/>
      <c r="AB29">
        <f>DAVERAGE(생산일보!$A$4:$N$29,"불량수",A5:A6)</f>
        <v/>
      </c>
    </row>
    <row r="30" ht="26" customHeight="1">
      <c r="A30" s="38" t="inlineStr">
        <is>
          <t>3  ▶F30</t>
        </is>
      </c>
      <c r="B30" s="11" t="inlineStr">
        <is>
          <t>A라인의 최대 생산수량.  (조건 표 ①)</t>
        </is>
      </c>
      <c r="C30" s="39" t="n"/>
      <c r="D30" s="39" t="n"/>
      <c r="E30" s="39" t="n"/>
      <c r="F30" s="24" t="n">
        <v>0</v>
      </c>
      <c r="G30" s="40">
        <f>IF(NOT(_xlfn.ISFORMULA(F30)),"↖ 0 지우고 수식",IF(IFERROR(ROUND(F30,4)=ROUND(AB30,4),F30=AB30),"✔ 맞음","✘ 다시"))</f>
        <v/>
      </c>
      <c r="H30" s="12" t="inlineStr">
        <is>
          <t>DMAX</t>
        </is>
      </c>
      <c r="I30" s="39" t="n"/>
      <c r="J30" s="39" t="n"/>
      <c r="K30" s="39" t="n"/>
      <c r="L30" s="39" t="n"/>
      <c r="M30" s="39" t="n"/>
      <c r="N30" s="39" t="n"/>
      <c r="AB30">
        <f>DMAX(생산일보!$A$4:$N$29,"생산수량",A5:A6)</f>
        <v/>
      </c>
    </row>
    <row r="31" ht="26" customHeight="1">
      <c r="A31" s="38" t="inlineStr">
        <is>
          <t>4  ▶F31</t>
        </is>
      </c>
      <c r="B31" s="11" t="inlineStr">
        <is>
          <t>불량수가 10 이상인 날의 건수.  (조건 표 ② A9:A10)</t>
        </is>
      </c>
      <c r="C31" s="39" t="n"/>
      <c r="D31" s="39" t="n"/>
      <c r="E31" s="39" t="n"/>
      <c r="F31" s="24" t="n">
        <v>0</v>
      </c>
      <c r="G31" s="40">
        <f>IF(NOT(_xlfn.ISFORMULA(F31)),"↖ 0 지우고 수식",IF(IFERROR(ROUND(F31,4)=ROUND(AB31,4),F31=AB31),"✔ 맞음","✘ 다시"))</f>
        <v/>
      </c>
      <c r="H31" s="12" t="inlineStr">
        <is>
          <t>DCOUNT — 숫자가 든 필드를 세야 합니다</t>
        </is>
      </c>
      <c r="I31" s="39" t="n"/>
      <c r="J31" s="39" t="n"/>
      <c r="K31" s="39" t="n"/>
      <c r="L31" s="39" t="n"/>
      <c r="M31" s="39" t="n"/>
      <c r="N31" s="39" t="n"/>
      <c r="AB31">
        <f>DCOUNT(생산일보!$A$4:$N$29,"불량수",A9:A10)</f>
        <v/>
      </c>
    </row>
    <row r="32" ht="26" customHeight="1">
      <c r="A32" s="38" t="inlineStr">
        <is>
          <t>5  ▶F32</t>
        </is>
      </c>
      <c r="B32" s="11" t="inlineStr">
        <is>
          <t>불량수가 10 이상인 날 중 가장 적은 생산수량.  (조건 표 ②)</t>
        </is>
      </c>
      <c r="C32" s="39" t="n"/>
      <c r="D32" s="39" t="n"/>
      <c r="E32" s="39" t="n"/>
      <c r="F32" s="24" t="n">
        <v>0</v>
      </c>
      <c r="G32" s="40">
        <f>IF(NOT(_xlfn.ISFORMULA(F32)),"↖ 0 지우고 수식",IF(IFERROR(ROUND(F32,4)=ROUND(AB32,4),F32=AB32),"✔ 맞음","✘ 다시"))</f>
        <v/>
      </c>
      <c r="H32" s="12" t="inlineStr">
        <is>
          <t>DMIN</t>
        </is>
      </c>
      <c r="I32" s="39" t="n"/>
      <c r="J32" s="39" t="n"/>
      <c r="K32" s="39" t="n"/>
      <c r="L32" s="39" t="n"/>
      <c r="M32" s="39" t="n"/>
      <c r="N32" s="39" t="n"/>
      <c r="AB32">
        <f>DMIN(생산일보!$A$4:$N$29,"생산수량",A9:A10)</f>
        <v/>
      </c>
    </row>
    <row r="33" ht="21" customHeight="1">
      <c r="A33" s="37" t="inlineStr">
        <is>
          <t xml:space="preserve">  조건이 둘일 때 — 같은 줄이면 '그리고', 다른 줄이면 '또는'</t>
        </is>
      </c>
    </row>
    <row r="34" ht="26" customHeight="1">
      <c r="A34" s="38" t="inlineStr">
        <is>
          <t>6  ▶F34</t>
        </is>
      </c>
      <c r="B34" s="11" t="inlineStr">
        <is>
          <t>B라인이면서 생산수량 300 이상인 날의 최소 작업시간.  (조건 표 ③ A13:B14)</t>
        </is>
      </c>
      <c r="C34" s="39" t="n"/>
      <c r="D34" s="39" t="n"/>
      <c r="E34" s="39" t="n"/>
      <c r="F34" s="24" t="n">
        <v>0</v>
      </c>
      <c r="G34" s="40">
        <f>IF(NOT(_xlfn.ISFORMULA(F34)),"↖ 0 지우고 수식",IF(IFERROR(ROUND(F34,4)=ROUND(AB34,4),F34=AB34),"✔ 맞음","✘ 다시"))</f>
        <v/>
      </c>
      <c r="H34" s="12" t="inlineStr">
        <is>
          <t>DMIN · 조건 두 개가 같은 줄 = 그리고</t>
        </is>
      </c>
      <c r="I34" s="39" t="n"/>
      <c r="J34" s="39" t="n"/>
      <c r="K34" s="39" t="n"/>
      <c r="L34" s="39" t="n"/>
      <c r="M34" s="39" t="n"/>
      <c r="N34" s="39" t="n"/>
      <c r="AB34">
        <f>DMIN(생산일보!$A$4:$N$29,"작업시간",A13:B14)</f>
        <v/>
      </c>
    </row>
    <row r="35" ht="26" customHeight="1">
      <c r="A35" s="38" t="inlineStr">
        <is>
          <t>7  ▶F35</t>
        </is>
      </c>
      <c r="B35" s="11" t="inlineStr">
        <is>
          <t>B라인이면서 생산수량 300 이상인 날의 생산수량 합계.  (조건 표 ③)</t>
        </is>
      </c>
      <c r="C35" s="39" t="n"/>
      <c r="D35" s="39" t="n"/>
      <c r="E35" s="39" t="n"/>
      <c r="F35" s="24" t="n">
        <v>0</v>
      </c>
      <c r="G35" s="40">
        <f>IF(NOT(_xlfn.ISFORMULA(F35)),"↖ 0 지우고 수식",IF(IFERROR(ROUND(F35,4)=ROUND(AB35,4),F35=AB35),"✔ 맞음","✘ 다시"))</f>
        <v/>
      </c>
      <c r="H35" s="12" t="inlineStr">
        <is>
          <t>DSUM</t>
        </is>
      </c>
      <c r="I35" s="39" t="n"/>
      <c r="J35" s="39" t="n"/>
      <c r="K35" s="39" t="n"/>
      <c r="L35" s="39" t="n"/>
      <c r="M35" s="39" t="n"/>
      <c r="N35" s="39" t="n"/>
      <c r="AB35">
        <f>DSUM(생산일보!$A$4:$N$29,"생산수량",A13:B14)</f>
        <v/>
      </c>
    </row>
    <row r="36" ht="26" customHeight="1">
      <c r="A36" s="38" t="inlineStr">
        <is>
          <t>8  ▶F36</t>
        </is>
      </c>
      <c r="B36" s="11" t="inlineStr">
        <is>
          <t>A라인 또는 C라인인 날의 생산수량 합계.  (조건 표 ④ A17:A19)</t>
        </is>
      </c>
      <c r="C36" s="39" t="n"/>
      <c r="D36" s="39" t="n"/>
      <c r="E36" s="39" t="n"/>
      <c r="F36" s="24" t="n">
        <v>0</v>
      </c>
      <c r="G36" s="40">
        <f>IF(NOT(_xlfn.ISFORMULA(F36)),"↖ 0 지우고 수식",IF(IFERROR(ROUND(F36,4)=ROUND(AB36,4),F36=AB36),"✔ 맞음","✘ 다시"))</f>
        <v/>
      </c>
      <c r="H36" s="12" t="inlineStr">
        <is>
          <t>조건을 줄을 달리해 쓰면 '또는'</t>
        </is>
      </c>
      <c r="I36" s="39" t="n"/>
      <c r="J36" s="39" t="n"/>
      <c r="K36" s="39" t="n"/>
      <c r="L36" s="39" t="n"/>
      <c r="M36" s="39" t="n"/>
      <c r="N36" s="39" t="n"/>
      <c r="AB36">
        <f>DSUM(생산일보!$A$4:$N$29,"생산수량",A17:A19)</f>
        <v/>
      </c>
    </row>
    <row r="37" ht="26" customHeight="1">
      <c r="A37" s="38" t="inlineStr">
        <is>
          <t>9  ▶F37</t>
        </is>
      </c>
      <c r="B37" s="11" t="inlineStr">
        <is>
          <t>제품명이 "감속기어" 인 날의 평균 생산수량.  (조건 표 ⑤ A22:A23)</t>
        </is>
      </c>
      <c r="C37" s="39" t="n"/>
      <c r="D37" s="39" t="n"/>
      <c r="E37" s="39" t="n"/>
      <c r="F37" s="24" t="n">
        <v>0</v>
      </c>
      <c r="G37" s="40">
        <f>IF(NOT(_xlfn.ISFORMULA(F37)),"↖ 0 지우고 수식",IF(IFERROR(ROUND(F37,4)=ROUND(AB37,4),F37=AB37),"✔ 맞음","✘ 다시"))</f>
        <v/>
      </c>
      <c r="H37" s="12" t="inlineStr">
        <is>
          <t>DAVERAGE</t>
        </is>
      </c>
      <c r="I37" s="39" t="n"/>
      <c r="J37" s="39" t="n"/>
      <c r="K37" s="39" t="n"/>
      <c r="L37" s="39" t="n"/>
      <c r="M37" s="39" t="n"/>
      <c r="N37" s="39" t="n"/>
      <c r="AB37">
        <f>DAVERAGE(생산일보!$A$4:$N$29,"생산수량",A22:A23)</f>
        <v/>
      </c>
    </row>
    <row r="38" ht="26" customHeight="1">
      <c r="A38" s="38" t="inlineStr">
        <is>
          <t>10  ▶F38</t>
        </is>
      </c>
      <c r="B38" s="11" t="inlineStr">
        <is>
          <t>제품명이 "감속기어" 인 날의 기록 건수. (글자 필드를 세시오)</t>
        </is>
      </c>
      <c r="C38" s="39" t="n"/>
      <c r="D38" s="39" t="n"/>
      <c r="E38" s="39" t="n"/>
      <c r="F38" s="24" t="n">
        <v>0</v>
      </c>
      <c r="G38" s="40">
        <f>IF(NOT(_xlfn.ISFORMULA(F38)),"↖ 0 지우고 수식",IF(IFERROR(ROUND(F38,4)=ROUND(AB38,4),F38=AB38),"✔ 맞음","✘ 다시"))</f>
        <v/>
      </c>
      <c r="H38" s="12" t="inlineStr">
        <is>
          <t>DCOUNTA — 글자도 셉니다</t>
        </is>
      </c>
      <c r="I38" s="39" t="n"/>
      <c r="J38" s="39" t="n"/>
      <c r="K38" s="39" t="n"/>
      <c r="L38" s="39" t="n"/>
      <c r="M38" s="39" t="n"/>
      <c r="N38" s="39" t="n"/>
      <c r="AB38">
        <f>DCOUNTA(생산일보!$A$4:$N$29,"제품명",A22:A23)</f>
        <v/>
      </c>
    </row>
    <row r="40" ht="30" customHeight="1">
      <c r="A40" s="6" t="inlineStr">
        <is>
          <t>전체 표 범위는 머리글 줄부터 잡습니다 →  생산일보!$A$4:$N$29. 조건 표는 머리글 한 줄 + 조건 줄로 이루어집니다.</t>
        </is>
      </c>
    </row>
  </sheetData>
  <mergeCells count="33">
    <mergeCell ref="A40:N40"/>
    <mergeCell ref="H37:N37"/>
    <mergeCell ref="H28:N28"/>
    <mergeCell ref="B37:E37"/>
    <mergeCell ref="B30:E30"/>
    <mergeCell ref="B36:E36"/>
    <mergeCell ref="A1:N1"/>
    <mergeCell ref="B32:E32"/>
    <mergeCell ref="B26:E26"/>
    <mergeCell ref="B35:E35"/>
    <mergeCell ref="A16:H16"/>
    <mergeCell ref="H30:N30"/>
    <mergeCell ref="H26:N26"/>
    <mergeCell ref="A25:N25"/>
    <mergeCell ref="H29:N29"/>
    <mergeCell ref="H35:N35"/>
    <mergeCell ref="H38:N38"/>
    <mergeCell ref="A12:H12"/>
    <mergeCell ref="B31:E31"/>
    <mergeCell ref="A27:N27"/>
    <mergeCell ref="A21:H21"/>
    <mergeCell ref="H31:N31"/>
    <mergeCell ref="A2:N2"/>
    <mergeCell ref="H34:N34"/>
    <mergeCell ref="A33:N33"/>
    <mergeCell ref="A8:H8"/>
    <mergeCell ref="A4:H4"/>
    <mergeCell ref="H36:N36"/>
    <mergeCell ref="B38:E38"/>
    <mergeCell ref="B29:E29"/>
    <mergeCell ref="B34:E34"/>
    <mergeCell ref="H32:N32"/>
    <mergeCell ref="B28:E28"/>
  </mergeCells>
  <conditionalFormatting sqref="G27:G38">
    <cfRule type="expression" priority="1" dxfId="0">
      <formula>ISNUMBER(SEARCH("맞",G27))</formula>
    </cfRule>
    <cfRule type="expression" priority="2" dxfId="1">
      <formula>ISNUMBER(SEARCH("다시",G27))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8" customWidth="1" min="3" max="3"/>
    <col width="40" customWidth="1" min="4" max="4"/>
    <col width="13" customWidth="1" min="5" max="5"/>
    <col width="42" customWidth="1" min="6" max="6"/>
  </cols>
  <sheetData>
    <row r="1" ht="26" customHeight="1">
      <c r="A1" s="5" t="inlineStr">
        <is>
          <t>이 파일에 나오는 함수 사전 — 형식 · 살아 있는 예시 · 자주 하는 실수</t>
        </is>
      </c>
    </row>
    <row r="2" ht="30" customHeight="1">
      <c r="A2" s="6" t="inlineStr">
        <is>
          <t>[결과] 칸은 옆의 예시 수식을 진짜로 계산한 값입니다. 클릭해서 안을 들여다보세요.</t>
        </is>
      </c>
    </row>
    <row r="4" ht="24" customHeight="1">
      <c r="A4" s="16" t="inlineStr">
        <is>
          <t>함수</t>
        </is>
      </c>
      <c r="B4" s="16" t="inlineStr">
        <is>
          <t>하는 일</t>
        </is>
      </c>
      <c r="C4" s="16" t="inlineStr">
        <is>
          <t>쓰는 법 (형식)</t>
        </is>
      </c>
      <c r="D4" s="16" t="inlineStr">
        <is>
          <t>이 파일 자료로 든 예시</t>
        </is>
      </c>
      <c r="E4" s="16" t="inlineStr">
        <is>
          <t>결과</t>
        </is>
      </c>
      <c r="F4" s="16" t="inlineStr">
        <is>
          <t>자주 하는 실수</t>
        </is>
      </c>
    </row>
    <row r="5" ht="21" customHeight="1">
      <c r="A5" s="37" t="inlineStr">
        <is>
          <t xml:space="preserve">  논리</t>
        </is>
      </c>
    </row>
    <row r="6" ht="30" customHeight="1">
      <c r="A6" s="43" t="inlineStr">
        <is>
          <t>IF</t>
        </is>
      </c>
      <c r="B6" s="44" t="inlineStr">
        <is>
          <t>조건에 따라 둘 중 하나를 보여 준다</t>
        </is>
      </c>
      <c r="C6" s="45" t="inlineStr">
        <is>
          <t>IF(조건, 참일 때, 거짓일 때)</t>
        </is>
      </c>
      <c r="D6" s="45" t="inlineStr">
        <is>
          <t>=IF(생산일보!F5&gt;=500,"많음","적음")</t>
        </is>
      </c>
      <c r="E6" s="46">
        <f>IF(생산일보!F5&gt;=500,"많음","적음")</f>
        <v/>
      </c>
      <c r="F6" s="44" t="inlineStr">
        <is>
          <t>글자에 큰따옴표를 안 붙여 #NAME? 가 난다</t>
        </is>
      </c>
    </row>
    <row r="7" ht="30" customHeight="1">
      <c r="A7" s="43" t="inlineStr">
        <is>
          <t>AND</t>
        </is>
      </c>
      <c r="B7" s="44" t="inlineStr">
        <is>
          <t>모두 참일 때만 참</t>
        </is>
      </c>
      <c r="C7" s="45" t="inlineStr">
        <is>
          <t>AND(조건1, 조건2, …)</t>
        </is>
      </c>
      <c r="D7" s="45" t="inlineStr">
        <is>
          <t>=AND(생산일보!F5&gt;=500,생산일보!G5&lt;10)</t>
        </is>
      </c>
      <c r="E7" s="46">
        <f>AND(생산일보!F5&gt;=500,생산일보!G5&lt;10)</f>
        <v/>
      </c>
      <c r="F7" s="44" t="inlineStr">
        <is>
          <t>IF 없이 혼자 쓰면 TRUE/FALSE 만 나온다</t>
        </is>
      </c>
    </row>
    <row r="8" ht="30" customHeight="1">
      <c r="A8" s="43" t="inlineStr">
        <is>
          <t>OR</t>
        </is>
      </c>
      <c r="B8" s="44" t="inlineStr">
        <is>
          <t>하나라도 참이면 참</t>
        </is>
      </c>
      <c r="C8" s="45" t="inlineStr">
        <is>
          <t>OR(조건1, 조건2, …)</t>
        </is>
      </c>
      <c r="D8" s="45" t="inlineStr">
        <is>
          <t>=OR(생산일보!B5="A",생산일보!H5&gt;=8)</t>
        </is>
      </c>
      <c r="E8" s="46">
        <f>OR(생산일보!B5="A",생산일보!H5&gt;=8)</f>
        <v/>
      </c>
      <c r="F8" s="44" t="inlineStr"/>
    </row>
    <row r="9" ht="30" customHeight="1">
      <c r="A9" s="43" t="inlineStr">
        <is>
          <t>NOT</t>
        </is>
      </c>
      <c r="B9" s="44" t="inlineStr">
        <is>
          <t>참·거짓을 뒤집는다</t>
        </is>
      </c>
      <c r="C9" s="45" t="inlineStr">
        <is>
          <t>NOT(조건)</t>
        </is>
      </c>
      <c r="D9" s="45" t="inlineStr">
        <is>
          <t>=NOT(생산일보!F5&gt;=500)</t>
        </is>
      </c>
      <c r="E9" s="46">
        <f>NOT(생산일보!F5&gt;=500)</f>
        <v/>
      </c>
      <c r="F9" s="44" t="inlineStr"/>
    </row>
    <row r="10" ht="30" customHeight="1">
      <c r="A10" s="43" t="inlineStr">
        <is>
          <t>IFERROR</t>
        </is>
      </c>
      <c r="B10" s="44" t="inlineStr">
        <is>
          <t>오류가 나면 대신 보여 줄 것</t>
        </is>
      </c>
      <c r="C10" s="45" t="inlineStr">
        <is>
          <t>IFERROR(수식, 오류일 때)</t>
        </is>
      </c>
      <c r="D10" s="45" t="inlineStr">
        <is>
          <t>=IFERROR(생산일보!G5/0,"계산불가")</t>
        </is>
      </c>
      <c r="E10" s="46">
        <f>IFERROR(생산일보!G5/0,"계산불가")</f>
        <v/>
      </c>
      <c r="F10" s="44" t="inlineStr">
        <is>
          <t>오류가 아닌 값까지 바꾸지는 않는다</t>
        </is>
      </c>
    </row>
    <row r="11" ht="21" customHeight="1">
      <c r="A11" s="37" t="inlineStr">
        <is>
          <t xml:space="preserve">  통계</t>
        </is>
      </c>
    </row>
    <row r="12" ht="30" customHeight="1">
      <c r="A12" s="43" t="inlineStr">
        <is>
          <t>SUM</t>
        </is>
      </c>
      <c r="B12" s="44" t="inlineStr">
        <is>
          <t>다 더한다</t>
        </is>
      </c>
      <c r="C12" s="45" t="inlineStr">
        <is>
          <t>SUM(범위)</t>
        </is>
      </c>
      <c r="D12" s="45" t="inlineStr">
        <is>
          <t>=SUM(생산일보!F5:F29)</t>
        </is>
      </c>
      <c r="E12" s="46">
        <f>SUM(생산일보!F5:F29)</f>
        <v/>
      </c>
      <c r="F12" s="44" t="inlineStr">
        <is>
          <t>범위에 글자가 섞이면 그것은 빼고 더한다</t>
        </is>
      </c>
    </row>
    <row r="13" ht="30" customHeight="1">
      <c r="A13" s="43" t="inlineStr">
        <is>
          <t>AVERAGE</t>
        </is>
      </c>
      <c r="B13" s="44" t="inlineStr">
        <is>
          <t>평균</t>
        </is>
      </c>
      <c r="C13" s="45" t="inlineStr">
        <is>
          <t>AVERAGE(범위)</t>
        </is>
      </c>
      <c r="D13" s="45" t="inlineStr">
        <is>
          <t>=ROUND(AVERAGE(생산일보!F5:F29),0)</t>
        </is>
      </c>
      <c r="E13" s="46">
        <f>ROUND(AVERAGE(생산일보!F5:F29),0)</f>
        <v/>
      </c>
      <c r="F13" s="44" t="inlineStr">
        <is>
          <t>빈 칸은 빼고 계산한다(0 으로 치지 않는다)</t>
        </is>
      </c>
    </row>
    <row r="14" ht="30" customHeight="1">
      <c r="A14" s="43" t="inlineStr">
        <is>
          <t>MAX</t>
        </is>
      </c>
      <c r="B14" s="44" t="inlineStr">
        <is>
          <t>가장 큰 값</t>
        </is>
      </c>
      <c r="C14" s="45" t="inlineStr">
        <is>
          <t>MAX(범위)</t>
        </is>
      </c>
      <c r="D14" s="45" t="inlineStr">
        <is>
          <t>=MAX(생산일보!F5:F29)</t>
        </is>
      </c>
      <c r="E14" s="46">
        <f>MAX(생산일보!F5:F29)</f>
        <v/>
      </c>
      <c r="F14" s="44" t="inlineStr"/>
    </row>
    <row r="15" ht="30" customHeight="1">
      <c r="A15" s="43" t="inlineStr">
        <is>
          <t>MIN</t>
        </is>
      </c>
      <c r="B15" s="44" t="inlineStr">
        <is>
          <t>가장 작은 값</t>
        </is>
      </c>
      <c r="C15" s="45" t="inlineStr">
        <is>
          <t>MIN(범위)</t>
        </is>
      </c>
      <c r="D15" s="45" t="inlineStr">
        <is>
          <t>=MIN(생산일보!G5:G29)</t>
        </is>
      </c>
      <c r="E15" s="46">
        <f>MIN(생산일보!G5:G29)</f>
        <v/>
      </c>
      <c r="F15" s="44" t="inlineStr"/>
    </row>
    <row r="16" ht="30" customHeight="1">
      <c r="A16" s="43" t="inlineStr">
        <is>
          <t>LARGE</t>
        </is>
      </c>
      <c r="B16" s="44" t="inlineStr">
        <is>
          <t>몇 번째로 큰 값</t>
        </is>
      </c>
      <c r="C16" s="45" t="inlineStr">
        <is>
          <t>LARGE(범위, 몇 번째)</t>
        </is>
      </c>
      <c r="D16" s="45" t="inlineStr">
        <is>
          <t>=LARGE(생산일보!F5:F29,3)</t>
        </is>
      </c>
      <c r="E16" s="46">
        <f>LARGE(생산일보!F5:F29,3)</f>
        <v/>
      </c>
      <c r="F16" s="44" t="inlineStr">
        <is>
          <t>두 번째 인수를 빠뜨리면 오류</t>
        </is>
      </c>
    </row>
    <row r="17" ht="30" customHeight="1">
      <c r="A17" s="43" t="inlineStr">
        <is>
          <t>SMALL</t>
        </is>
      </c>
      <c r="B17" s="44" t="inlineStr">
        <is>
          <t>몇 번째로 작은 값</t>
        </is>
      </c>
      <c r="C17" s="45" t="inlineStr">
        <is>
          <t>SMALL(범위, 몇 번째)</t>
        </is>
      </c>
      <c r="D17" s="45" t="inlineStr">
        <is>
          <t>=SMALL(생산일보!G5:G29,2)</t>
        </is>
      </c>
      <c r="E17" s="46">
        <f>SMALL(생산일보!G5:G29,2)</f>
        <v/>
      </c>
      <c r="F17" s="44" t="inlineStr"/>
    </row>
    <row r="18" ht="30" customHeight="1">
      <c r="A18" s="43" t="inlineStr">
        <is>
          <t>MEDIAN</t>
        </is>
      </c>
      <c r="B18" s="44" t="inlineStr">
        <is>
          <t>가운데 값</t>
        </is>
      </c>
      <c r="C18" s="45" t="inlineStr">
        <is>
          <t>MEDIAN(범위)</t>
        </is>
      </c>
      <c r="D18" s="45" t="inlineStr">
        <is>
          <t>=MEDIAN(생산일보!F5:F29)</t>
        </is>
      </c>
      <c r="E18" s="46">
        <f>MEDIAN(생산일보!F5:F29)</f>
        <v/>
      </c>
      <c r="F18" s="44" t="inlineStr"/>
    </row>
    <row r="19" ht="30" customHeight="1">
      <c r="A19" s="43" t="inlineStr">
        <is>
          <t>RANK.EQ</t>
        </is>
      </c>
      <c r="B19" s="44" t="inlineStr">
        <is>
          <t>순위</t>
        </is>
      </c>
      <c r="C19" s="45" t="inlineStr">
        <is>
          <t>RANK.EQ(값, 범위, [0=큰값이1등])</t>
        </is>
      </c>
      <c r="D19" s="45" t="inlineStr">
        <is>
          <t>=RANK.EQ(생산일보!F5,생산일보!$F$5:$F$29)</t>
        </is>
      </c>
      <c r="E19" s="46">
        <f>_xlfn.RANK.EQ(생산일보!F5,생산일보!$F$5:$F$29)</f>
        <v/>
      </c>
      <c r="F19" s="44" t="inlineStr">
        <is>
          <t>범위를 $ 로 고정하지 않고 끌어 채우면 순위가 뒤죽박죽</t>
        </is>
      </c>
    </row>
    <row r="20" ht="30" customHeight="1">
      <c r="A20" s="43" t="inlineStr">
        <is>
          <t>STDEV.S</t>
        </is>
      </c>
      <c r="B20" s="44" t="inlineStr">
        <is>
          <t>표본 표준편차</t>
        </is>
      </c>
      <c r="C20" s="45" t="inlineStr">
        <is>
          <t>STDEV.S(범위)</t>
        </is>
      </c>
      <c r="D20" s="45" t="inlineStr">
        <is>
          <t>=ROUND(STDEV.S(생산일보!F5:F29),1)</t>
        </is>
      </c>
      <c r="E20" s="46">
        <f>ROUND(_xlfn.STDEV.S(생산일보!F5:F29),1)</f>
        <v/>
      </c>
      <c r="F20" s="44" t="inlineStr"/>
    </row>
    <row r="21" ht="21" customHeight="1">
      <c r="A21" s="37" t="inlineStr">
        <is>
          <t xml:space="preserve">  개수 세기</t>
        </is>
      </c>
    </row>
    <row r="22" ht="30" customHeight="1">
      <c r="A22" s="43" t="inlineStr">
        <is>
          <t>COUNT</t>
        </is>
      </c>
      <c r="B22" s="44" t="inlineStr">
        <is>
          <t>숫자가 든 칸 수</t>
        </is>
      </c>
      <c r="C22" s="45" t="inlineStr">
        <is>
          <t>COUNT(범위)</t>
        </is>
      </c>
      <c r="D22" s="45" t="inlineStr">
        <is>
          <t>=COUNT(생산일보!H5:H29)</t>
        </is>
      </c>
      <c r="E22" s="46">
        <f>COUNT(생산일보!H5:H29)</f>
        <v/>
      </c>
      <c r="F22" s="44" t="inlineStr">
        <is>
          <t>글자는 세지 않는다</t>
        </is>
      </c>
    </row>
    <row r="23" ht="30" customHeight="1">
      <c r="A23" s="43" t="inlineStr">
        <is>
          <t>COUNTA</t>
        </is>
      </c>
      <c r="B23" s="44" t="inlineStr">
        <is>
          <t>비어 있지 않은 칸 수</t>
        </is>
      </c>
      <c r="C23" s="45" t="inlineStr">
        <is>
          <t>COUNTA(범위)</t>
        </is>
      </c>
      <c r="D23" s="45" t="inlineStr">
        <is>
          <t>=COUNTA(생산일보!B5:B29)</t>
        </is>
      </c>
      <c r="E23" s="46">
        <f>COUNTA(생산일보!B5:B29)</f>
        <v/>
      </c>
      <c r="F23" s="44" t="inlineStr"/>
    </row>
    <row r="24" ht="30" customHeight="1">
      <c r="A24" s="43" t="inlineStr">
        <is>
          <t>COUNTBLANK</t>
        </is>
      </c>
      <c r="B24" s="44" t="inlineStr">
        <is>
          <t>비어 있는 칸 수</t>
        </is>
      </c>
      <c r="C24" s="45" t="inlineStr">
        <is>
          <t>COUNTBLANK(범위)</t>
        </is>
      </c>
      <c r="D24" s="45" t="inlineStr">
        <is>
          <t>=COUNTBLANK(생산일보!I5:I29)</t>
        </is>
      </c>
      <c r="E24" s="46">
        <f>COUNTBLANK(생산일보!I5:I29)</f>
        <v/>
      </c>
      <c r="F24" s="44" t="inlineStr"/>
    </row>
    <row r="25" ht="30" customHeight="1">
      <c r="A25" s="43" t="inlineStr">
        <is>
          <t>COUNTIF</t>
        </is>
      </c>
      <c r="B25" s="44" t="inlineStr">
        <is>
          <t>조건에 맞는 칸 수</t>
        </is>
      </c>
      <c r="C25" s="45" t="inlineStr">
        <is>
          <t>COUNTIF(범위, 조건)</t>
        </is>
      </c>
      <c r="D25" s="45" t="inlineStr">
        <is>
          <t>=COUNTIF(생산일보!G5:G29,"&gt;=10")</t>
        </is>
      </c>
      <c r="E25" s="46">
        <f>COUNTIF(생산일보!G5:G29,"&gt;=10")</f>
        <v/>
      </c>
      <c r="F25" s="44" t="inlineStr">
        <is>
          <t>&gt;=10 을 큰따옴표 없이 쓰면 오류</t>
        </is>
      </c>
    </row>
    <row r="26" ht="21" customHeight="1">
      <c r="A26" s="37" t="inlineStr">
        <is>
          <t xml:space="preserve">  조건부 집계</t>
        </is>
      </c>
    </row>
    <row r="27" ht="30" customHeight="1">
      <c r="A27" s="43" t="inlineStr">
        <is>
          <t>SUMIF</t>
        </is>
      </c>
      <c r="B27" s="44" t="inlineStr">
        <is>
          <t>조건에 맞는 것만 더한다</t>
        </is>
      </c>
      <c r="C27" s="45" t="inlineStr">
        <is>
          <t>SUMIF(조건범위, 조건, 더할범위)</t>
        </is>
      </c>
      <c r="D27" s="45" t="inlineStr">
        <is>
          <t>=SUMIF(생산일보!$B$5:$B$29,"A",생산일보!$F$5:$F$29)</t>
        </is>
      </c>
      <c r="E27" s="46">
        <f>SUMIF(생산일보!$B$5:$B$29,"A",생산일보!$F$5:$F$29)</f>
        <v/>
      </c>
      <c r="F27" s="44" t="inlineStr">
        <is>
          <t>두 범위의 크기가 다르면 엉뚱한 값</t>
        </is>
      </c>
    </row>
    <row r="28" ht="30" customHeight="1">
      <c r="A28" s="43" t="inlineStr">
        <is>
          <t>AVERAGEIF</t>
        </is>
      </c>
      <c r="B28" s="44" t="inlineStr">
        <is>
          <t>조건에 맞는 것만 평균</t>
        </is>
      </c>
      <c r="C28" s="45" t="inlineStr">
        <is>
          <t>AVERAGEIF(조건범위, 조건, 평균범위)</t>
        </is>
      </c>
      <c r="D28" s="45" t="inlineStr">
        <is>
          <t>=ROUND(AVERAGEIF(생산일보!$B$5:$B$29,"A",생산일보!$G$5:$G$29),2)</t>
        </is>
      </c>
      <c r="E28" s="46">
        <f>ROUND(AVERAGEIF(생산일보!$B$5:$B$29,"A",생산일보!$G$5:$G$29),2)</f>
        <v/>
      </c>
      <c r="F28" s="44" t="inlineStr"/>
    </row>
    <row r="29" ht="21" customHeight="1">
      <c r="A29" s="37" t="inlineStr">
        <is>
          <t xml:space="preserve">  수학 · 반올림</t>
        </is>
      </c>
    </row>
    <row r="30" ht="30" customHeight="1">
      <c r="A30" s="43" t="inlineStr">
        <is>
          <t>ROUND</t>
        </is>
      </c>
      <c r="B30" s="44" t="inlineStr">
        <is>
          <t>반올림</t>
        </is>
      </c>
      <c r="C30" s="45" t="inlineStr">
        <is>
          <t>ROUND(값, 자릿수)</t>
        </is>
      </c>
      <c r="D30" s="45" t="inlineStr">
        <is>
          <t>=ROUND(생산일보!H5,0)</t>
        </is>
      </c>
      <c r="E30" s="46">
        <f>ROUND(생산일보!H5,0)</f>
        <v/>
      </c>
      <c r="F30" s="44" t="inlineStr">
        <is>
          <t>자릿수 0=정수, 1=소수첫째, -1=십의자리</t>
        </is>
      </c>
    </row>
    <row r="31" ht="30" customHeight="1">
      <c r="A31" s="43" t="inlineStr">
        <is>
          <t>ROUNDUP</t>
        </is>
      </c>
      <c r="B31" s="44" t="inlineStr">
        <is>
          <t>무조건 올림</t>
        </is>
      </c>
      <c r="C31" s="45" t="inlineStr">
        <is>
          <t>ROUNDUP(값, 자릿수)</t>
        </is>
      </c>
      <c r="D31" s="45" t="inlineStr">
        <is>
          <t>=ROUNDUP(AVERAGE(생산일보!F5:F29),-1)</t>
        </is>
      </c>
      <c r="E31" s="46">
        <f>ROUNDUP(AVERAGE(생산일보!F5:F29),-1)</f>
        <v/>
      </c>
      <c r="F31" s="44" t="inlineStr"/>
    </row>
    <row r="32" ht="30" customHeight="1">
      <c r="A32" s="43" t="inlineStr">
        <is>
          <t>ROUNDDOWN</t>
        </is>
      </c>
      <c r="B32" s="44" t="inlineStr">
        <is>
          <t>무조건 버림</t>
        </is>
      </c>
      <c r="C32" s="45" t="inlineStr">
        <is>
          <t>ROUNDDOWN(값, 자릿수)</t>
        </is>
      </c>
      <c r="D32" s="45" t="inlineStr">
        <is>
          <t>=ROUNDDOWN(SUM(생산일보!H5:H29),0)</t>
        </is>
      </c>
      <c r="E32" s="46">
        <f>ROUNDDOWN(SUM(생산일보!H5:H29),0)</f>
        <v/>
      </c>
      <c r="F32" s="44" t="inlineStr"/>
    </row>
    <row r="33" ht="30" customHeight="1">
      <c r="A33" s="43" t="inlineStr">
        <is>
          <t>TRUNC</t>
        </is>
      </c>
      <c r="B33" s="44" t="inlineStr">
        <is>
          <t>소수점을 자른다</t>
        </is>
      </c>
      <c r="C33" s="45" t="inlineStr">
        <is>
          <t>TRUNC(값, [자릿수])</t>
        </is>
      </c>
      <c r="D33" s="45" t="inlineStr">
        <is>
          <t>=TRUNC(생산일보!H5)</t>
        </is>
      </c>
      <c r="E33" s="46">
        <f>TRUNC(생산일보!H5)</f>
        <v/>
      </c>
      <c r="F33" s="44" t="inlineStr">
        <is>
          <t>음수에서 INT 와 결과가 다르다</t>
        </is>
      </c>
    </row>
    <row r="34" ht="30" customHeight="1">
      <c r="A34" s="43" t="inlineStr">
        <is>
          <t>INT</t>
        </is>
      </c>
      <c r="B34" s="44" t="inlineStr">
        <is>
          <t>소수점을 버려 정수로</t>
        </is>
      </c>
      <c r="C34" s="45" t="inlineStr">
        <is>
          <t>INT(값)</t>
        </is>
      </c>
      <c r="D34" s="45" t="inlineStr">
        <is>
          <t>=INT(SUM(생산일보!F5:F29)/500)</t>
        </is>
      </c>
      <c r="E34" s="46">
        <f>INT(SUM(생산일보!F5:F29)/500)</f>
        <v/>
      </c>
      <c r="F34" s="44" t="inlineStr">
        <is>
          <t>음수는 더 작은 쪽으로 간다</t>
        </is>
      </c>
    </row>
    <row r="35" ht="30" customHeight="1">
      <c r="A35" s="43" t="inlineStr">
        <is>
          <t>MOD</t>
        </is>
      </c>
      <c r="B35" s="44" t="inlineStr">
        <is>
          <t>나머지</t>
        </is>
      </c>
      <c r="C35" s="45" t="inlineStr">
        <is>
          <t>MOD(값, 나누는 수)</t>
        </is>
      </c>
      <c r="D35" s="45" t="inlineStr">
        <is>
          <t>=MOD(SUM(생산일보!F5:F29),500)</t>
        </is>
      </c>
      <c r="E35" s="46">
        <f>MOD(SUM(생산일보!F5:F29),500)</f>
        <v/>
      </c>
      <c r="F35" s="44" t="inlineStr"/>
    </row>
    <row r="36" ht="30" customHeight="1">
      <c r="A36" s="43" t="inlineStr">
        <is>
          <t>ABS</t>
        </is>
      </c>
      <c r="B36" s="44" t="inlineStr">
        <is>
          <t>절댓값</t>
        </is>
      </c>
      <c r="C36" s="45" t="inlineStr">
        <is>
          <t>ABS(값)</t>
        </is>
      </c>
      <c r="D36" s="45" t="inlineStr">
        <is>
          <t>=ABS(생산일보!F5-생산일보!E5)</t>
        </is>
      </c>
      <c r="E36" s="46">
        <f>ABS(생산일보!F5-생산일보!E5)</f>
        <v/>
      </c>
      <c r="F36" s="44" t="inlineStr"/>
    </row>
    <row r="37" ht="30" customHeight="1">
      <c r="A37" s="43" t="inlineStr">
        <is>
          <t>POWER</t>
        </is>
      </c>
      <c r="B37" s="44" t="inlineStr">
        <is>
          <t>거듭제곱</t>
        </is>
      </c>
      <c r="C37" s="45" t="inlineStr">
        <is>
          <t>POWER(값, 지수)</t>
        </is>
      </c>
      <c r="D37" s="45" t="inlineStr">
        <is>
          <t>=POWER(2,10)</t>
        </is>
      </c>
      <c r="E37" s="46">
        <f>POWER(2,10)</f>
        <v/>
      </c>
      <c r="F37" s="44" t="inlineStr">
        <is>
          <t>= 2^10 과 같다</t>
        </is>
      </c>
    </row>
    <row r="38" ht="21" customHeight="1">
      <c r="A38" s="37" t="inlineStr">
        <is>
          <t xml:space="preserve">  문자열</t>
        </is>
      </c>
    </row>
    <row r="39" ht="30" customHeight="1">
      <c r="A39" s="43" t="inlineStr">
        <is>
          <t>LEFT</t>
        </is>
      </c>
      <c r="B39" s="44" t="inlineStr">
        <is>
          <t>왼쪽에서 몇 글자</t>
        </is>
      </c>
      <c r="C39" s="45" t="inlineStr">
        <is>
          <t>LEFT(글자, 개수)</t>
        </is>
      </c>
      <c r="D39" s="45" t="inlineStr">
        <is>
          <t>=LEFT(생산일보!C5,2)</t>
        </is>
      </c>
      <c r="E39" s="46">
        <f>LEFT(생산일보!C5,2)</f>
        <v/>
      </c>
      <c r="F39" s="44" t="inlineStr"/>
    </row>
    <row r="40" ht="30" customHeight="1">
      <c r="A40" s="43" t="inlineStr">
        <is>
          <t>RIGHT</t>
        </is>
      </c>
      <c r="B40" s="44" t="inlineStr">
        <is>
          <t>오른쪽에서 몇 글자</t>
        </is>
      </c>
      <c r="C40" s="45" t="inlineStr">
        <is>
          <t>RIGHT(글자, 개수)</t>
        </is>
      </c>
      <c r="D40" s="45" t="inlineStr">
        <is>
          <t>=RIGHT(생산일보!C5,2)</t>
        </is>
      </c>
      <c r="E40" s="46">
        <f>RIGHT(생산일보!C5,2)</f>
        <v/>
      </c>
      <c r="F40" s="44" t="inlineStr"/>
    </row>
    <row r="41" ht="30" customHeight="1">
      <c r="A41" s="43" t="inlineStr">
        <is>
          <t>MID</t>
        </is>
      </c>
      <c r="B41" s="44" t="inlineStr">
        <is>
          <t>가운데에서 뽑기</t>
        </is>
      </c>
      <c r="C41" s="45" t="inlineStr">
        <is>
          <t>MID(글자, 시작, 개수)</t>
        </is>
      </c>
      <c r="D41" s="45" t="inlineStr">
        <is>
          <t>=MID(생산일보!C5,4,2)</t>
        </is>
      </c>
      <c r="E41" s="46">
        <f>MID(생산일보!C5,4,2)</f>
        <v/>
      </c>
      <c r="F41" s="44" t="inlineStr">
        <is>
          <t>시작 위치는 1부터 센다</t>
        </is>
      </c>
    </row>
    <row r="42" ht="30" customHeight="1">
      <c r="A42" s="43" t="inlineStr">
        <is>
          <t>LEN</t>
        </is>
      </c>
      <c r="B42" s="44" t="inlineStr">
        <is>
          <t>글자 수</t>
        </is>
      </c>
      <c r="C42" s="45" t="inlineStr">
        <is>
          <t>LEN(글자)</t>
        </is>
      </c>
      <c r="D42" s="45" t="inlineStr">
        <is>
          <t>=LEN(생산일보!C5)</t>
        </is>
      </c>
      <c r="E42" s="46">
        <f>LEN(생산일보!C5)</f>
        <v/>
      </c>
      <c r="F42" s="44" t="inlineStr">
        <is>
          <t>공백도 한 글자로 센다</t>
        </is>
      </c>
    </row>
    <row r="43" ht="30" customHeight="1">
      <c r="A43" s="43" t="inlineStr">
        <is>
          <t>TRIM</t>
        </is>
      </c>
      <c r="B43" s="44" t="inlineStr">
        <is>
          <t>앞뒤 공백 없애기</t>
        </is>
      </c>
      <c r="C43" s="45" t="inlineStr">
        <is>
          <t>TRIM(글자)</t>
        </is>
      </c>
      <c r="D43" s="45" t="inlineStr">
        <is>
          <t>=TRIM(생산일보!I5)</t>
        </is>
      </c>
      <c r="E43" s="46">
        <f>TRIM(생산일보!I5)</f>
        <v/>
      </c>
      <c r="F43" s="44" t="inlineStr"/>
    </row>
    <row r="44" ht="30" customHeight="1">
      <c r="A44" s="43" t="inlineStr">
        <is>
          <t>UPPER</t>
        </is>
      </c>
      <c r="B44" s="44" t="inlineStr">
        <is>
          <t>대문자로</t>
        </is>
      </c>
      <c r="C44" s="45" t="inlineStr">
        <is>
          <t>UPPER(글자)</t>
        </is>
      </c>
      <c r="D44" s="45" t="inlineStr">
        <is>
          <t>=UPPER(생산일보!C5)</t>
        </is>
      </c>
      <c r="E44" s="46">
        <f>UPPER(생산일보!C5)</f>
        <v/>
      </c>
      <c r="F44" s="44" t="inlineStr"/>
    </row>
    <row r="45" ht="30" customHeight="1">
      <c r="A45" s="43" t="inlineStr">
        <is>
          <t>LOWER</t>
        </is>
      </c>
      <c r="B45" s="44" t="inlineStr">
        <is>
          <t>소문자로</t>
        </is>
      </c>
      <c r="C45" s="45" t="inlineStr">
        <is>
          <t>LOWER(글자)</t>
        </is>
      </c>
      <c r="D45" s="45" t="inlineStr">
        <is>
          <t>=LOWER(생산일보!C5)</t>
        </is>
      </c>
      <c r="E45" s="46">
        <f>LOWER(생산일보!C5)</f>
        <v/>
      </c>
      <c r="F45" s="44" t="inlineStr"/>
    </row>
    <row r="46" ht="30" customHeight="1">
      <c r="A46" s="43" t="inlineStr">
        <is>
          <t>&amp;</t>
        </is>
      </c>
      <c r="B46" s="44" t="inlineStr">
        <is>
          <t>글자를 이어 붙인다</t>
        </is>
      </c>
      <c r="C46" s="45" t="inlineStr">
        <is>
          <t>글자1 &amp; 글자2</t>
        </is>
      </c>
      <c r="D46" s="45" t="inlineStr">
        <is>
          <t>=생산일보!B5&amp;"라인"</t>
        </is>
      </c>
      <c r="E46" s="46">
        <f>생산일보!B5&amp;"라인"</f>
        <v/>
      </c>
      <c r="F46" s="44" t="inlineStr">
        <is>
          <t>숫자와 붙이면 결과는 글자가 된다</t>
        </is>
      </c>
    </row>
    <row r="47" ht="21" customHeight="1">
      <c r="A47" s="37" t="inlineStr">
        <is>
          <t xml:space="preserve">  찾기 · 참조</t>
        </is>
      </c>
    </row>
    <row r="48" ht="30" customHeight="1">
      <c r="A48" s="43" t="inlineStr">
        <is>
          <t>VLOOKUP</t>
        </is>
      </c>
      <c r="B48" s="44" t="inlineStr">
        <is>
          <t>세로 표에서 찾아오기</t>
        </is>
      </c>
      <c r="C48" s="45" t="inlineStr">
        <is>
          <t>VLOOKUP(찾을값, 표, 몇번째열, FALSE)</t>
        </is>
      </c>
      <c r="D48" s="45" t="inlineStr">
        <is>
          <t>=VLOOKUP(생산일보!C5,생산일보!$P$5:$R$8,3,FALSE)</t>
        </is>
      </c>
      <c r="E48" s="46">
        <f>VLOOKUP(생산일보!C5,생산일보!$P$5:$R$8,3,FALSE)</f>
        <v/>
      </c>
      <c r="F48" s="44" t="inlineStr">
        <is>
          <t>표의 맨 왼쪽 열에서만 찾는다 · $ 고정을 잊는다</t>
        </is>
      </c>
    </row>
    <row r="49" ht="30" customHeight="1">
      <c r="A49" s="43" t="inlineStr">
        <is>
          <t>HLOOKUP</t>
        </is>
      </c>
      <c r="B49" s="44" t="inlineStr">
        <is>
          <t>가로 표에서 찾아오기</t>
        </is>
      </c>
      <c r="C49" s="45" t="inlineStr">
        <is>
          <t>HLOOKUP(찾을값, 표, 몇번째행, FALSE)</t>
        </is>
      </c>
      <c r="D49" s="45" t="inlineStr">
        <is>
          <t>=HLOOKUP("단가",생산일보!$P$4:$R$8,2,FALSE)</t>
        </is>
      </c>
      <c r="E49" s="46">
        <f>HLOOKUP("단가",생산일보!$P$4:$R$8,2,FALSE)</f>
        <v/>
      </c>
      <c r="F49" s="44" t="inlineStr"/>
    </row>
    <row r="50" ht="30" customHeight="1">
      <c r="A50" s="43" t="inlineStr">
        <is>
          <t>INDEX</t>
        </is>
      </c>
      <c r="B50" s="44" t="inlineStr">
        <is>
          <t>몇 번째 자리의 값</t>
        </is>
      </c>
      <c r="C50" s="45" t="inlineStr">
        <is>
          <t>INDEX(범위, 몇 번째)</t>
        </is>
      </c>
      <c r="D50" s="45" t="inlineStr">
        <is>
          <t>=INDEX(생산일보!D5:D29,3)</t>
        </is>
      </c>
      <c r="E50" s="46">
        <f>INDEX(생산일보!D5:D29,3)</f>
        <v/>
      </c>
      <c r="F50" s="44" t="inlineStr"/>
    </row>
    <row r="51" ht="30" customHeight="1">
      <c r="A51" s="43" t="inlineStr">
        <is>
          <t>MATCH</t>
        </is>
      </c>
      <c r="B51" s="44" t="inlineStr">
        <is>
          <t>몇 번째에 있는지</t>
        </is>
      </c>
      <c r="C51" s="45" t="inlineStr">
        <is>
          <t>MATCH(찾을값, 범위, 0)</t>
        </is>
      </c>
      <c r="D51" s="45" t="inlineStr">
        <is>
          <t>=MATCH(MAX(생산일보!F5:F29),생산일보!F5:F29,0)</t>
        </is>
      </c>
      <c r="E51" s="46">
        <f>MATCH(MAX(생산일보!F5:F29),생산일보!F5:F29,0)</f>
        <v/>
      </c>
      <c r="F51" s="44" t="inlineStr">
        <is>
          <t>마지막 0 을 빼면 엉뚱한 자리를 찾는다</t>
        </is>
      </c>
    </row>
    <row r="52" ht="30" customHeight="1">
      <c r="A52" s="43" t="inlineStr">
        <is>
          <t>CHOOSE</t>
        </is>
      </c>
      <c r="B52" s="44" t="inlineStr">
        <is>
          <t>번호로 고르기</t>
        </is>
      </c>
      <c r="C52" s="45" t="inlineStr">
        <is>
          <t>CHOOSE(번호, 1번, 2번, …)</t>
        </is>
      </c>
      <c r="D52" s="45" t="inlineStr">
        <is>
          <t>=CHOOSE(WEEKDAY(생산일보!A5),"일","월","화","수","목","금","토")</t>
        </is>
      </c>
      <c r="E52" s="46">
        <f>CHOOSE(WEEKDAY(생산일보!A5),"일","월","화","수","목","금","토")</f>
        <v/>
      </c>
      <c r="F52" s="44" t="inlineStr"/>
    </row>
    <row r="53" ht="21" customHeight="1">
      <c r="A53" s="37" t="inlineStr">
        <is>
          <t xml:space="preserve">  데이터베이스 (조건 표를 따로 만들어 쓴다)</t>
        </is>
      </c>
    </row>
    <row r="54" ht="30" customHeight="1">
      <c r="A54" s="43" t="inlineStr">
        <is>
          <t>DSUM</t>
        </is>
      </c>
      <c r="B54" s="44" t="inlineStr">
        <is>
          <t>조건에 맞는 것만 더한다</t>
        </is>
      </c>
      <c r="C54" s="45" t="inlineStr">
        <is>
          <t>DSUM(전체표, "필드", 조건표)</t>
        </is>
      </c>
      <c r="D54" s="45" t="inlineStr">
        <is>
          <t>=DSUM(생산일보!$A$4:$N$29,"생산수량",DB함수!A5:A6)</t>
        </is>
      </c>
      <c r="E54" s="46">
        <f>DSUM(생산일보!$A$4:$N$29,"생산수량",DB함수!A5:A6)</f>
        <v/>
      </c>
      <c r="F54" s="44" t="inlineStr">
        <is>
          <t>전체 표를 머리글부터 잡지 않으면 오류</t>
        </is>
      </c>
    </row>
    <row r="55" ht="30" customHeight="1">
      <c r="A55" s="43" t="inlineStr">
        <is>
          <t>DAVERAGE</t>
        </is>
      </c>
      <c r="B55" s="44" t="inlineStr">
        <is>
          <t>조건에 맞는 것만 평균</t>
        </is>
      </c>
      <c r="C55" s="45" t="inlineStr">
        <is>
          <t>DAVERAGE(전체표, "필드", 조건표)</t>
        </is>
      </c>
      <c r="D55" s="45" t="inlineStr">
        <is>
          <t>=DAVERAGE(생산일보!$A$4:$N$29,"불량수",DB함수!A5:A6)</t>
        </is>
      </c>
      <c r="E55" s="46">
        <f>DAVERAGE(생산일보!$A$4:$N$29,"불량수",DB함수!A5:A6)</f>
        <v/>
      </c>
      <c r="F55" s="44" t="inlineStr"/>
    </row>
    <row r="56" ht="30" customHeight="1">
      <c r="A56" s="43" t="inlineStr">
        <is>
          <t>DCOUNT</t>
        </is>
      </c>
      <c r="B56" s="44" t="inlineStr">
        <is>
          <t>조건에 맞는 숫자 칸 수</t>
        </is>
      </c>
      <c r="C56" s="45" t="inlineStr">
        <is>
          <t>DCOUNT(전체표, "필드", 조건표)</t>
        </is>
      </c>
      <c r="D56" s="45" t="inlineStr">
        <is>
          <t>=DCOUNT(생산일보!$A$4:$N$29,"불량수",DB함수!A9:A10)</t>
        </is>
      </c>
      <c r="E56" s="46">
        <f>DCOUNT(생산일보!$A$4:$N$29,"불량수",DB함수!A9:A10)</f>
        <v/>
      </c>
      <c r="F56" s="44" t="inlineStr">
        <is>
          <t>글자 필드를 세면 0 이 나온다</t>
        </is>
      </c>
    </row>
    <row r="57" ht="30" customHeight="1">
      <c r="A57" s="43" t="inlineStr">
        <is>
          <t>DMAX</t>
        </is>
      </c>
      <c r="B57" s="44" t="inlineStr">
        <is>
          <t>조건에 맞는 것 중 최대</t>
        </is>
      </c>
      <c r="C57" s="45" t="inlineStr">
        <is>
          <t>DMAX(전체표, "필드", 조건표)</t>
        </is>
      </c>
      <c r="D57" s="45" t="inlineStr">
        <is>
          <t>=DMAX(생산일보!$A$4:$N$29,"생산수량",DB함수!A5:A6)</t>
        </is>
      </c>
      <c r="E57" s="46">
        <f>DMAX(생산일보!$A$4:$N$29,"생산수량",DB함수!A5:A6)</f>
        <v/>
      </c>
      <c r="F57" s="44" t="inlineStr"/>
    </row>
    <row r="58" ht="30" customHeight="1">
      <c r="A58" s="43" t="inlineStr">
        <is>
          <t>DMIN</t>
        </is>
      </c>
      <c r="B58" s="44" t="inlineStr">
        <is>
          <t>조건에 맞는 것 중 최소</t>
        </is>
      </c>
      <c r="C58" s="45" t="inlineStr">
        <is>
          <t>DMIN(전체표, "필드", 조건표)</t>
        </is>
      </c>
      <c r="D58" s="45" t="inlineStr">
        <is>
          <t>=DMIN(생산일보!$A$4:$N$29,"작업시간",DB함수!A13:B14)</t>
        </is>
      </c>
      <c r="E58" s="46">
        <f>DMIN(생산일보!$A$4:$N$29,"작업시간",DB함수!A13:B14)</f>
        <v/>
      </c>
      <c r="F58" s="44" t="inlineStr"/>
    </row>
    <row r="59" ht="21" customHeight="1">
      <c r="A59" s="37" t="inlineStr">
        <is>
          <t xml:space="preserve">  날짜 · 시각</t>
        </is>
      </c>
    </row>
    <row r="60" ht="30" customHeight="1">
      <c r="A60" s="43" t="inlineStr">
        <is>
          <t>YEAR</t>
        </is>
      </c>
      <c r="B60" s="44" t="inlineStr">
        <is>
          <t>연도</t>
        </is>
      </c>
      <c r="C60" s="45" t="inlineStr">
        <is>
          <t>YEAR(날짜)</t>
        </is>
      </c>
      <c r="D60" s="45" t="inlineStr">
        <is>
          <t>=YEAR(생산일보!A5)</t>
        </is>
      </c>
      <c r="E60" s="46">
        <f>YEAR(생산일보!A5)</f>
        <v/>
      </c>
      <c r="F60" s="44" t="inlineStr"/>
    </row>
    <row r="61" ht="30" customHeight="1">
      <c r="A61" s="43" t="inlineStr">
        <is>
          <t>MONTH</t>
        </is>
      </c>
      <c r="B61" s="44" t="inlineStr">
        <is>
          <t>월</t>
        </is>
      </c>
      <c r="C61" s="45" t="inlineStr">
        <is>
          <t>MONTH(날짜)</t>
        </is>
      </c>
      <c r="D61" s="45" t="inlineStr">
        <is>
          <t>=MONTH(생산일보!A5)</t>
        </is>
      </c>
      <c r="E61" s="46">
        <f>MONTH(생산일보!A5)</f>
        <v/>
      </c>
      <c r="F61" s="44" t="inlineStr"/>
    </row>
    <row r="62" ht="30" customHeight="1">
      <c r="A62" s="43" t="inlineStr">
        <is>
          <t>DAY</t>
        </is>
      </c>
      <c r="B62" s="44" t="inlineStr">
        <is>
          <t>일</t>
        </is>
      </c>
      <c r="C62" s="45" t="inlineStr">
        <is>
          <t>DAY(날짜)</t>
        </is>
      </c>
      <c r="D62" s="45" t="inlineStr">
        <is>
          <t>=DAY(생산일보!A5)</t>
        </is>
      </c>
      <c r="E62" s="46">
        <f>DAY(생산일보!A5)</f>
        <v/>
      </c>
      <c r="F62" s="44" t="inlineStr"/>
    </row>
    <row r="63" ht="30" customHeight="1">
      <c r="A63" s="43" t="inlineStr">
        <is>
          <t>WEEKDAY</t>
        </is>
      </c>
      <c r="B63" s="44" t="inlineStr">
        <is>
          <t>요일 번호</t>
        </is>
      </c>
      <c r="C63" s="45" t="inlineStr">
        <is>
          <t>WEEKDAY(날짜, [2=월요일이 1])</t>
        </is>
      </c>
      <c r="D63" s="45" t="inlineStr">
        <is>
          <t>=WEEKDAY(생산일보!A5,2)</t>
        </is>
      </c>
      <c r="E63" s="46">
        <f>WEEKDAY(생산일보!A5,2)</f>
        <v/>
      </c>
      <c r="F63" s="44" t="inlineStr">
        <is>
          <t>둘째 인수를 빼면 일요일이 1</t>
        </is>
      </c>
    </row>
    <row r="64" ht="30" customHeight="1">
      <c r="A64" s="43" t="inlineStr">
        <is>
          <t>DAYS</t>
        </is>
      </c>
      <c r="B64" s="44" t="inlineStr">
        <is>
          <t>두 날짜 사이 일수</t>
        </is>
      </c>
      <c r="C64" s="45" t="inlineStr">
        <is>
          <t>DAYS(늦은날, 이른날)</t>
        </is>
      </c>
      <c r="D64" s="45" t="inlineStr">
        <is>
          <t>=DAYS(생산일보!A29,생산일보!A5)</t>
        </is>
      </c>
      <c r="E64" s="46">
        <f>_xlfn.DAYS(생산일보!A29,생산일보!A5)</f>
        <v/>
      </c>
      <c r="F64" s="44" t="inlineStr">
        <is>
          <t>결과가 날짜로 보이면 셀 서식을 '일반' 으로</t>
        </is>
      </c>
    </row>
    <row r="65" ht="30" customHeight="1">
      <c r="A65" s="43" t="inlineStr">
        <is>
          <t>DATE</t>
        </is>
      </c>
      <c r="B65" s="44" t="inlineStr">
        <is>
          <t>연·월·일로 날짜 만들기</t>
        </is>
      </c>
      <c r="C65" s="45" t="inlineStr">
        <is>
          <t>DATE(연, 월, 일)</t>
        </is>
      </c>
      <c r="D65" s="45" t="inlineStr">
        <is>
          <t>=DATE(2026,3,2)</t>
        </is>
      </c>
      <c r="E65" s="46">
        <f>DATE(2026,3,2)</f>
        <v/>
      </c>
      <c r="F65" s="44" t="inlineStr"/>
    </row>
    <row r="66" ht="30" customHeight="1">
      <c r="A66" s="43" t="inlineStr">
        <is>
          <t>TODAY</t>
        </is>
      </c>
      <c r="B66" s="44" t="inlineStr">
        <is>
          <t>오늘 날짜</t>
        </is>
      </c>
      <c r="C66" s="45" t="inlineStr">
        <is>
          <t>TODAY()</t>
        </is>
      </c>
      <c r="D66" s="45" t="inlineStr">
        <is>
          <t>=TODAY()</t>
        </is>
      </c>
      <c r="E66" s="46">
        <f>TODAY()</f>
        <v/>
      </c>
      <c r="F66" s="44" t="inlineStr">
        <is>
          <t>괄호 안에 아무것도 안 넣는다</t>
        </is>
      </c>
    </row>
  </sheetData>
  <mergeCells count="11">
    <mergeCell ref="A38:F38"/>
    <mergeCell ref="A2:F2"/>
    <mergeCell ref="A11:F11"/>
    <mergeCell ref="A47:F47"/>
    <mergeCell ref="A1:F1"/>
    <mergeCell ref="A5:F5"/>
    <mergeCell ref="A26:F26"/>
    <mergeCell ref="A21:F21"/>
    <mergeCell ref="A53:F53"/>
    <mergeCell ref="A29:F29"/>
    <mergeCell ref="A59:F59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5" t="inlineStr">
        <is>
          <t>2급 ① 계산작업 정답 — 생산일보</t>
        </is>
      </c>
    </row>
    <row r="2" ht="30" customHeight="1">
      <c r="A2" s="6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47" t="inlineStr">
        <is>
          <t xml:space="preserve">  표 안의 노란 열 (J5 에 만들어 J29 까지 끌어 채우기)</t>
        </is>
      </c>
    </row>
    <row r="5" ht="24" customHeight="1">
      <c r="A5" s="16" t="inlineStr">
        <is>
          <t>번호</t>
        </is>
      </c>
      <c r="B5" s="16" t="inlineStr">
        <is>
          <t>넣을 칸</t>
        </is>
      </c>
      <c r="C5" s="16" t="inlineStr">
        <is>
          <t>무엇을 구하나</t>
        </is>
      </c>
      <c r="D5" s="16" t="inlineStr">
        <is>
          <t>정답 수식</t>
        </is>
      </c>
      <c r="E5" s="16" t="inlineStr">
        <is>
          <t>정답값</t>
        </is>
      </c>
      <c r="F5" s="16" t="inlineStr">
        <is>
          <t>왜 그런가 · 자주 하는 실수</t>
        </is>
      </c>
    </row>
    <row r="6" ht="30" customHeight="1">
      <c r="A6" s="19" t="n">
        <v>1</v>
      </c>
      <c r="B6" s="48" t="inlineStr">
        <is>
          <t>생산일보 J5</t>
        </is>
      </c>
      <c r="C6" s="44" t="inlineStr">
        <is>
          <t>달성률(%) — 생산수량÷계획수량×100, 소수 첫째 자리</t>
        </is>
      </c>
      <c r="D6" s="49" t="inlineStr">
        <is>
          <t>=ROUND(F5/E5*100,1)</t>
        </is>
      </c>
      <c r="E6" s="46">
        <f>생산일보!AB5</f>
        <v/>
      </c>
      <c r="F6" s="44" t="inlineStr"/>
    </row>
    <row r="7" ht="30" customHeight="1">
      <c r="A7" s="50" t="n">
        <v>2</v>
      </c>
      <c r="B7" s="51" t="inlineStr">
        <is>
          <t>생산일보 K5</t>
        </is>
      </c>
      <c r="C7" s="52" t="inlineStr">
        <is>
          <t>판정 — 계획 이상이면 달성</t>
        </is>
      </c>
      <c r="D7" s="53" t="inlineStr">
        <is>
          <t>=IF(F5&gt;=E5,"달성","미달")</t>
        </is>
      </c>
      <c r="E7" s="54">
        <f>생산일보!AC5</f>
        <v/>
      </c>
      <c r="F7" s="52" t="inlineStr"/>
    </row>
    <row r="8" ht="30" customHeight="1">
      <c r="A8" s="19" t="n">
        <v>3</v>
      </c>
      <c r="B8" s="48" t="inlineStr">
        <is>
          <t>생산일보 L5</t>
        </is>
      </c>
      <c r="C8" s="44" t="inlineStr">
        <is>
          <t>불량률(%) — 불량수÷생산수량×100, 소수 둘째 자리</t>
        </is>
      </c>
      <c r="D8" s="49" t="inlineStr">
        <is>
          <t>=ROUND(G5/F5*100,2)</t>
        </is>
      </c>
      <c r="E8" s="46">
        <f>생산일보!AD5</f>
        <v/>
      </c>
      <c r="F8" s="44" t="inlineStr"/>
    </row>
    <row r="9" ht="30" customHeight="1">
      <c r="A9" s="50" t="n">
        <v>4</v>
      </c>
      <c r="B9" s="51" t="inlineStr">
        <is>
          <t>생산일보 M5</t>
        </is>
      </c>
      <c r="C9" s="52" t="inlineStr">
        <is>
          <t>단가 — 단가표에서 찾아오기</t>
        </is>
      </c>
      <c r="D9" s="53" t="inlineStr">
        <is>
          <t>=VLOOKUP(C5,$P$5:$R$8,3,FALSE)</t>
        </is>
      </c>
      <c r="E9" s="54">
        <f>생산일보!AE5</f>
        <v/>
      </c>
      <c r="F9" s="52" t="inlineStr"/>
    </row>
    <row r="10" ht="30" customHeight="1">
      <c r="A10" s="19" t="n">
        <v>5</v>
      </c>
      <c r="B10" s="48" t="inlineStr">
        <is>
          <t>생산일보 N5</t>
        </is>
      </c>
      <c r="C10" s="44" t="inlineStr">
        <is>
          <t>생산금액 — 생산수량×단가</t>
        </is>
      </c>
      <c r="D10" s="49" t="inlineStr">
        <is>
          <t>=F5*M5</t>
        </is>
      </c>
      <c r="E10" s="46">
        <f>생산일보!AF5</f>
        <v/>
      </c>
      <c r="F10" s="44" t="inlineStr"/>
    </row>
    <row r="12" ht="22" customHeight="1">
      <c r="A12" s="47" t="inlineStr">
        <is>
          <t xml:space="preserve">  집계 문제 39개</t>
        </is>
      </c>
    </row>
    <row r="13" ht="24" customHeight="1">
      <c r="A13" s="16" t="inlineStr">
        <is>
          <t>번호</t>
        </is>
      </c>
      <c r="B13" s="16" t="inlineStr">
        <is>
          <t>넣을 칸</t>
        </is>
      </c>
      <c r="C13" s="16" t="inlineStr">
        <is>
          <t>무엇을 구하나</t>
        </is>
      </c>
      <c r="D13" s="16" t="inlineStr">
        <is>
          <t>정답 수식</t>
        </is>
      </c>
      <c r="E13" s="16" t="inlineStr">
        <is>
          <t>정답값</t>
        </is>
      </c>
      <c r="F13" s="16" t="inlineStr">
        <is>
          <t>왜 그런가 · 자주 하는 실수</t>
        </is>
      </c>
    </row>
    <row r="14" ht="30" customHeight="1">
      <c r="A14" s="19" t="n">
        <v>1</v>
      </c>
      <c r="B14" s="48" t="inlineStr">
        <is>
          <t>생산일보 F37</t>
        </is>
      </c>
      <c r="C14" s="44" t="inlineStr">
        <is>
          <t>생산수량[F5]이 계획수량[E5] 이상이면 "달성", 아니면 "미달" 이라고 나오게 하시오.</t>
        </is>
      </c>
      <c r="D14" s="49" t="inlineStr">
        <is>
          <t>=IF(F5&gt;=E5,"달성","미달")</t>
        </is>
      </c>
      <c r="E14" s="46">
        <f>'생산일보'!AB37</f>
        <v/>
      </c>
      <c r="F14" s="44" t="inlineStr">
        <is>
          <t>F5(512) 가 E5(500) 보다 크므로 달성. 큰따옴표를 빠뜨리면 #NAME? 가 납니다</t>
        </is>
      </c>
    </row>
    <row r="15" ht="30" customHeight="1">
      <c r="A15" s="50" t="n">
        <v>2</v>
      </c>
      <c r="B15" s="51" t="inlineStr">
        <is>
          <t>생산일보 F38</t>
        </is>
      </c>
      <c r="C15" s="52" t="inlineStr">
        <is>
          <t>생산수량[F5]이 500 이상이면서 불량수[G5]가 10 미만이면 "우수", 아니면 "보통".</t>
        </is>
      </c>
      <c r="D15" s="53" t="inlineStr">
        <is>
          <t>=IF(AND(F5&gt;=500,G5&lt;10),"우수","보통")</t>
        </is>
      </c>
      <c r="E15" s="54">
        <f>'생산일보'!AB38</f>
        <v/>
      </c>
      <c r="F15" s="52" t="inlineStr">
        <is>
          <t>AND 는 둘 다 참일 때만 참. 조건을 그냥 나란히 쓰면 안 되고 AND( ) 로 묶습니다</t>
        </is>
      </c>
    </row>
    <row r="16" ht="30" customHeight="1">
      <c r="A16" s="19" t="n">
        <v>3</v>
      </c>
      <c r="B16" s="48" t="inlineStr">
        <is>
          <t>생산일보 F39</t>
        </is>
      </c>
      <c r="C16" s="44" t="inlineStr">
        <is>
          <t>라인[B5]이 "A" 이거나 작업시간[H5]이 8 이상이면 "확인", 아니면 빈칸.</t>
        </is>
      </c>
      <c r="D16" s="49" t="inlineStr">
        <is>
          <t>=IF(OR(B5="A",H5&gt;=8),"확인","")</t>
        </is>
      </c>
      <c r="E16" s="46">
        <f>'생산일보'!AB39</f>
        <v/>
      </c>
      <c r="F16" s="44" t="inlineStr">
        <is>
          <t>빈칸은 큰따옴표 두 개("")를 붙여 씁니다. 그냥 비워 두면 0 이 나옵니다</t>
        </is>
      </c>
    </row>
    <row r="17" ht="30" customHeight="1">
      <c r="A17" s="50" t="n">
        <v>4</v>
      </c>
      <c r="B17" s="51" t="inlineStr">
        <is>
          <t>생산일보 F40</t>
        </is>
      </c>
      <c r="C17" s="52" t="inlineStr">
        <is>
          <t>불량수[G5]를 생산수량[F5]으로 나누되, 오류가 나면 "-" 가 나오게 하시오.</t>
        </is>
      </c>
      <c r="D17" s="53" t="inlineStr">
        <is>
          <t>=IFERROR(G5/F5,"-")</t>
        </is>
      </c>
      <c r="E17" s="54">
        <f>'생산일보'!AB40</f>
        <v/>
      </c>
      <c r="F17" s="52" t="inlineStr">
        <is>
          <t>생산수량이 0 인 날 #DIV/0! 이 뜨는 것을 막아 줍니다</t>
        </is>
      </c>
    </row>
    <row r="18" ht="30" customHeight="1">
      <c r="A18" s="19" t="n">
        <v>5</v>
      </c>
      <c r="B18" s="48" t="inlineStr">
        <is>
          <t>생산일보 F42</t>
        </is>
      </c>
      <c r="C18" s="44" t="inlineStr">
        <is>
          <t>3월~4월 전체 생산수량[F5:F29] 의 합계.</t>
        </is>
      </c>
      <c r="D18" s="49" t="inlineStr">
        <is>
          <t>=SUM(F5:F29)</t>
        </is>
      </c>
      <c r="E18" s="46">
        <f>'생산일보'!AB42</f>
        <v/>
      </c>
      <c r="F18" s="44" t="inlineStr">
        <is>
          <t>범위는 드래그로 잡아도 되고 F5:F29 라고 쳐도 됩니다</t>
        </is>
      </c>
    </row>
    <row r="19" ht="30" customHeight="1">
      <c r="A19" s="50" t="n">
        <v>6</v>
      </c>
      <c r="B19" s="51" t="inlineStr">
        <is>
          <t>생산일보 F43</t>
        </is>
      </c>
      <c r="C19" s="52" t="inlineStr">
        <is>
          <t>전체 생산수량[F5:F29] 의 평균을 정수로 반올림해서.</t>
        </is>
      </c>
      <c r="D19" s="53" t="inlineStr">
        <is>
          <t>=ROUND(AVERAGE(F5:F29),0)</t>
        </is>
      </c>
      <c r="E19" s="54">
        <f>'생산일보'!AB43</f>
        <v/>
      </c>
      <c r="F19" s="52" t="inlineStr">
        <is>
          <t>ROUND(값, 0) 이 정수 자리. 1 이면 소수 첫째 자리, -1 이면 십의 자리</t>
        </is>
      </c>
    </row>
    <row r="20" ht="30" customHeight="1">
      <c r="A20" s="19" t="n">
        <v>7</v>
      </c>
      <c r="B20" s="48" t="inlineStr">
        <is>
          <t>생산일보 F44</t>
        </is>
      </c>
      <c r="C20" s="44" t="inlineStr">
        <is>
          <t>하루 최대 생산수량[F5:F29].</t>
        </is>
      </c>
      <c r="D20" s="49" t="inlineStr">
        <is>
          <t>=MAX(F5:F29)</t>
        </is>
      </c>
      <c r="E20" s="46">
        <f>'생산일보'!AB44</f>
        <v/>
      </c>
      <c r="F20" s="44" t="inlineStr">
        <is>
          <t>가장 큰 값 하나를 뽑습니다</t>
        </is>
      </c>
    </row>
    <row r="21" ht="30" customHeight="1">
      <c r="A21" s="50" t="n">
        <v>8</v>
      </c>
      <c r="B21" s="51" t="inlineStr">
        <is>
          <t>생산일보 F45</t>
        </is>
      </c>
      <c r="C21" s="52" t="inlineStr">
        <is>
          <t>하루 최소 불량수[G5:G29].</t>
        </is>
      </c>
      <c r="D21" s="53" t="inlineStr">
        <is>
          <t>=MIN(G5:G29)</t>
        </is>
      </c>
      <c r="E21" s="54">
        <f>'생산일보'!AB45</f>
        <v/>
      </c>
      <c r="F21" s="52" t="inlineStr"/>
    </row>
    <row r="22" ht="30" customHeight="1">
      <c r="A22" s="19" t="n">
        <v>9</v>
      </c>
      <c r="B22" s="48" t="inlineStr">
        <is>
          <t>생산일보 F46</t>
        </is>
      </c>
      <c r="C22" s="44" t="inlineStr">
        <is>
          <t>생산수량이 세 번째로 많은 날의 수량.</t>
        </is>
      </c>
      <c r="D22" s="49" t="inlineStr">
        <is>
          <t>=LARGE(F5:F29,3)</t>
        </is>
      </c>
      <c r="E22" s="46">
        <f>'생산일보'!AB46</f>
        <v/>
      </c>
      <c r="F22" s="44" t="inlineStr">
        <is>
          <t>LARGE(범위,1) 은 MAX 와 같습니다</t>
        </is>
      </c>
    </row>
    <row r="23" ht="30" customHeight="1">
      <c r="A23" s="50" t="n">
        <v>10</v>
      </c>
      <c r="B23" s="51" t="inlineStr">
        <is>
          <t>생산일보 F47</t>
        </is>
      </c>
      <c r="C23" s="52" t="inlineStr">
        <is>
          <t>불량수가 두 번째로 적은 날의 불량수.</t>
        </is>
      </c>
      <c r="D23" s="53" t="inlineStr">
        <is>
          <t>=SMALL(G5:G29,2)</t>
        </is>
      </c>
      <c r="E23" s="54">
        <f>'생산일보'!AB47</f>
        <v/>
      </c>
      <c r="F23" s="52" t="inlineStr">
        <is>
          <t>SMALL(범위,1) 은 MIN 과 같습니다</t>
        </is>
      </c>
    </row>
    <row r="24" ht="30" customHeight="1">
      <c r="A24" s="19" t="n">
        <v>11</v>
      </c>
      <c r="B24" s="48" t="inlineStr">
        <is>
          <t>생산일보 F48</t>
        </is>
      </c>
      <c r="C24" s="44" t="inlineStr">
        <is>
          <t>생산수량[F5:F29] 의 중앙값(가운데 값).</t>
        </is>
      </c>
      <c r="D24" s="49" t="inlineStr">
        <is>
          <t>=MEDIAN(F5:F29)</t>
        </is>
      </c>
      <c r="E24" s="46">
        <f>'생산일보'!AB48</f>
        <v/>
      </c>
      <c r="F24" s="44" t="inlineStr">
        <is>
          <t>평균과 달리 크게 벗어난 값에 덜 흔들립니다</t>
        </is>
      </c>
    </row>
    <row r="25" ht="30" customHeight="1">
      <c r="A25" s="50" t="n">
        <v>12</v>
      </c>
      <c r="B25" s="51" t="inlineStr">
        <is>
          <t>생산일보 F49</t>
        </is>
      </c>
      <c r="C25" s="52" t="inlineStr">
        <is>
          <t>3월 2일 생산수량[F5]은 전체에서 몇 등인가? (큰 값이 1등)</t>
        </is>
      </c>
      <c r="D25" s="53" t="inlineStr">
        <is>
          <t>=RANK.EQ(F5,$F$5:$F$29)</t>
        </is>
      </c>
      <c r="E25" s="54">
        <f>'생산일보'!AB49</f>
        <v/>
      </c>
      <c r="F25" s="52" t="inlineStr">
        <is>
          <t>아래로 끌어 채울 것을 생각해 범위는 반드시 $F$5:$F$29 로 고정합니다</t>
        </is>
      </c>
    </row>
    <row r="26" ht="30" customHeight="1">
      <c r="A26" s="19" t="n">
        <v>13</v>
      </c>
      <c r="B26" s="48" t="inlineStr">
        <is>
          <t>생산일보 F51</t>
        </is>
      </c>
      <c r="C26" s="44" t="inlineStr">
        <is>
          <t>라인[B5:B29] 에 글자가 적힌 칸의 개수 = 기록된 날 수.</t>
        </is>
      </c>
      <c r="D26" s="49" t="inlineStr">
        <is>
          <t>=COUNTA(B5:B29)</t>
        </is>
      </c>
      <c r="E26" s="46">
        <f>'생산일보'!AB51</f>
        <v/>
      </c>
      <c r="F26" s="44" t="inlineStr">
        <is>
          <t>COUNT 는 숫자만 셉니다. 글자를 세려면 COUNTA</t>
        </is>
      </c>
    </row>
    <row r="27" ht="30" customHeight="1">
      <c r="A27" s="50" t="n">
        <v>14</v>
      </c>
      <c r="B27" s="51" t="inlineStr">
        <is>
          <t>생산일보 F52</t>
        </is>
      </c>
      <c r="C27" s="52" t="inlineStr">
        <is>
          <t>작업시간[H5:H29] 중 숫자가 들어 있는 칸의 개수.</t>
        </is>
      </c>
      <c r="D27" s="53" t="inlineStr">
        <is>
          <t>=COUNT(H5:H29)</t>
        </is>
      </c>
      <c r="E27" s="54">
        <f>'생산일보'!AB52</f>
        <v/>
      </c>
      <c r="F27" s="52" t="inlineStr"/>
    </row>
    <row r="28" ht="30" customHeight="1">
      <c r="A28" s="19" t="n">
        <v>15</v>
      </c>
      <c r="B28" s="48" t="inlineStr">
        <is>
          <t>생산일보 F53</t>
        </is>
      </c>
      <c r="C28" s="44" t="inlineStr">
        <is>
          <t>비고[I5:I29] 중 비어 있는 칸의 개수.</t>
        </is>
      </c>
      <c r="D28" s="49" t="inlineStr">
        <is>
          <t>=COUNTBLANK(I5:I29)</t>
        </is>
      </c>
      <c r="E28" s="46">
        <f>'생산일보'!AB53</f>
        <v/>
      </c>
      <c r="F28" s="44" t="inlineStr">
        <is>
          <t>아무것도 안 적힌 날이 며칠인지 셉니다</t>
        </is>
      </c>
    </row>
    <row r="29" ht="30" customHeight="1">
      <c r="A29" s="50" t="n">
        <v>16</v>
      </c>
      <c r="B29" s="51" t="inlineStr">
        <is>
          <t>생산일보 F54</t>
        </is>
      </c>
      <c r="C29" s="52" t="inlineStr">
        <is>
          <t>불량수[G5:G29] 가 10 이상인 날의 수.</t>
        </is>
      </c>
      <c r="D29" s="53" t="inlineStr">
        <is>
          <t>=COUNTIF(G5:G29,"&gt;=10")</t>
        </is>
      </c>
      <c r="E29" s="54">
        <f>'생산일보'!AB54</f>
        <v/>
      </c>
      <c r="F29" s="52" t="inlineStr">
        <is>
          <t>&gt;= 와 숫자를 함께 큰따옴표로 묶습니다. COUNTIF(G5:G29,&gt;=10) 은 오류</t>
        </is>
      </c>
    </row>
    <row r="30" ht="30" customHeight="1">
      <c r="A30" s="19" t="n">
        <v>17</v>
      </c>
      <c r="B30" s="48" t="inlineStr">
        <is>
          <t>생산일보 F56</t>
        </is>
      </c>
      <c r="C30" s="44" t="inlineStr">
        <is>
          <t>A라인의 생산수량 합계. (라인은 B5:B29, 생산수량은 F5:F29)</t>
        </is>
      </c>
      <c r="D30" s="49" t="inlineStr">
        <is>
          <t>=SUMIF($B$5:$B$29,"A",$F$5:$F$29)</t>
        </is>
      </c>
      <c r="E30" s="46">
        <f>'생산일보'!AB56</f>
        <v/>
      </c>
      <c r="F30" s="44" t="inlineStr">
        <is>
          <t>범위 두 개의 크기가 같아야 합니다. 조건 "A" 는 큰따옴표</t>
        </is>
      </c>
    </row>
    <row r="31" ht="30" customHeight="1">
      <c r="A31" s="50" t="n">
        <v>18</v>
      </c>
      <c r="B31" s="51" t="inlineStr">
        <is>
          <t>생산일보 F57</t>
        </is>
      </c>
      <c r="C31" s="52" t="inlineStr">
        <is>
          <t>A라인의 평균 불량수를 소수 둘째 자리까지.</t>
        </is>
      </c>
      <c r="D31" s="53" t="inlineStr">
        <is>
          <t>=ROUND(AVERAGEIF($B$5:$B$29,"A",$G$5:$G$29),2)</t>
        </is>
      </c>
      <c r="E31" s="54">
        <f>'생산일보'!AB57</f>
        <v/>
      </c>
      <c r="F31" s="52" t="inlineStr">
        <is>
          <t>AVERAGEIF 는 조건에 맞는 것만 평균 냅니다</t>
        </is>
      </c>
    </row>
    <row r="32" ht="30" customHeight="1">
      <c r="A32" s="19" t="n">
        <v>19</v>
      </c>
      <c r="B32" s="48" t="inlineStr">
        <is>
          <t>생산일보 F58</t>
        </is>
      </c>
      <c r="C32" s="44" t="inlineStr">
        <is>
          <t>생산수량[F5:F29] 이 500 이상인 날의 불량수 합계.</t>
        </is>
      </c>
      <c r="D32" s="49" t="inlineStr">
        <is>
          <t>=SUMIF($F$5:$F$29,"&gt;=500",$G$5:$G$29)</t>
        </is>
      </c>
      <c r="E32" s="46">
        <f>'생산일보'!AB58</f>
        <v/>
      </c>
      <c r="F32" s="44" t="inlineStr">
        <is>
          <t>조건은 생산수량에서 보고, 더하는 것은 불량수입니다</t>
        </is>
      </c>
    </row>
    <row r="33" ht="30" customHeight="1">
      <c r="A33" s="50" t="n">
        <v>20</v>
      </c>
      <c r="B33" s="51" t="inlineStr">
        <is>
          <t>생산일보 F59</t>
        </is>
      </c>
      <c r="C33" s="52" t="inlineStr">
        <is>
          <t>제품명[D5:D29] 이 "베어링유닛" 인 날의 생산수량 합계.</t>
        </is>
      </c>
      <c r="D33" s="53" t="inlineStr">
        <is>
          <t>=SUMIF($D$5:$D$29,"베어링유닛",$F$5:$F$29)</t>
        </is>
      </c>
      <c r="E33" s="54">
        <f>'생산일보'!AB59</f>
        <v/>
      </c>
      <c r="F33" s="52" t="inlineStr">
        <is>
          <t>조건 칸(예: D5)을 가리켜 =SUMIF($D$5:$D$29,D5,$F$5:$F$29) 라고 해도 됩니다</t>
        </is>
      </c>
    </row>
    <row r="34" ht="30" customHeight="1">
      <c r="A34" s="19" t="n">
        <v>21</v>
      </c>
      <c r="B34" s="48" t="inlineStr">
        <is>
          <t>생산일보 F60</t>
        </is>
      </c>
      <c r="C34" s="44" t="inlineStr">
        <is>
          <t>B라인이 나온 날의 수.</t>
        </is>
      </c>
      <c r="D34" s="49" t="inlineStr">
        <is>
          <t>=COUNTIF(B5:B29,"B")</t>
        </is>
      </c>
      <c r="E34" s="46">
        <f>'생산일보'!AB60</f>
        <v/>
      </c>
      <c r="F34" s="44" t="inlineStr"/>
    </row>
    <row r="35" ht="30" customHeight="1">
      <c r="A35" s="50" t="n">
        <v>22</v>
      </c>
      <c r="B35" s="51" t="inlineStr">
        <is>
          <t>생산일보 F62</t>
        </is>
      </c>
      <c r="C35" s="52" t="inlineStr">
        <is>
          <t>평균 생산수량을 십의 자리까지 올림. (예: 412 → 420)</t>
        </is>
      </c>
      <c r="D35" s="53" t="inlineStr">
        <is>
          <t>=ROUNDUP(AVERAGE(F5:F29),-1)</t>
        </is>
      </c>
      <c r="E35" s="54">
        <f>'생산일보'!AB62</f>
        <v/>
      </c>
      <c r="F35" s="52" t="inlineStr">
        <is>
          <t>-1 은 십의 자리, -2 는 백의 자리까지 맞춥니다</t>
        </is>
      </c>
    </row>
    <row r="36" ht="30" customHeight="1">
      <c r="A36" s="19" t="n">
        <v>23</v>
      </c>
      <c r="B36" s="48" t="inlineStr">
        <is>
          <t>생산일보 F63</t>
        </is>
      </c>
      <c r="C36" s="44" t="inlineStr">
        <is>
          <t>총 작업시간[H5:H29] 의 합계에서 소수점을 버린 값.</t>
        </is>
      </c>
      <c r="D36" s="49" t="inlineStr">
        <is>
          <t>=ROUNDDOWN(SUM(H5:H29),0)</t>
        </is>
      </c>
      <c r="E36" s="46">
        <f>'생산일보'!AB63</f>
        <v/>
      </c>
      <c r="F36" s="44" t="inlineStr">
        <is>
          <t>ROUNDDOWN 은 무조건 버림, ROUND 는 반올림입니다</t>
        </is>
      </c>
    </row>
    <row r="37" ht="30" customHeight="1">
      <c r="A37" s="50" t="n">
        <v>24</v>
      </c>
      <c r="B37" s="51" t="inlineStr">
        <is>
          <t>생산일보 F64</t>
        </is>
      </c>
      <c r="C37" s="52" t="inlineStr">
        <is>
          <t>총 생산수량을 500 으로 나눈 나머지. (500개들이 상자에 담고 남는 수)</t>
        </is>
      </c>
      <c r="D37" s="53" t="inlineStr">
        <is>
          <t>=MOD(SUM(F5:F29),500)</t>
        </is>
      </c>
      <c r="E37" s="54">
        <f>'생산일보'!AB64</f>
        <v/>
      </c>
      <c r="F37" s="52" t="inlineStr">
        <is>
          <t>MOD 는 나머지, INT 는 몫입니다</t>
        </is>
      </c>
    </row>
    <row r="38" ht="30" customHeight="1">
      <c r="A38" s="19" t="n">
        <v>25</v>
      </c>
      <c r="B38" s="48" t="inlineStr">
        <is>
          <t>생산일보 F65</t>
        </is>
      </c>
      <c r="C38" s="44" t="inlineStr">
        <is>
          <t>총 생산수량을 500 으로 나눈 몫. (상자 개수)</t>
        </is>
      </c>
      <c r="D38" s="49" t="inlineStr">
        <is>
          <t>=INT(SUM(F5:F29)/500)</t>
        </is>
      </c>
      <c r="E38" s="46">
        <f>'생산일보'!AB65</f>
        <v/>
      </c>
      <c r="F38" s="44" t="inlineStr">
        <is>
          <t>INT 는 음수에서는 더 작은 쪽으로 갑니다(-2.3 → -3)</t>
        </is>
      </c>
    </row>
    <row r="39" ht="30" customHeight="1">
      <c r="A39" s="50" t="n">
        <v>26</v>
      </c>
      <c r="B39" s="51" t="inlineStr">
        <is>
          <t>생산일보 F67</t>
        </is>
      </c>
      <c r="C39" s="52" t="inlineStr">
        <is>
          <t>제품코드[C5] 의 앞 2글자. (품목 구분)</t>
        </is>
      </c>
      <c r="D39" s="53" t="inlineStr">
        <is>
          <t>=LEFT(C5,2)</t>
        </is>
      </c>
      <c r="E39" s="54">
        <f>'생산일보'!AB67</f>
        <v/>
      </c>
      <c r="F39" s="52" t="inlineStr">
        <is>
          <t>BR-01 → BR</t>
        </is>
      </c>
    </row>
    <row r="40" ht="30" customHeight="1">
      <c r="A40" s="19" t="n">
        <v>27</v>
      </c>
      <c r="B40" s="48" t="inlineStr">
        <is>
          <t>생산일보 F68</t>
        </is>
      </c>
      <c r="C40" s="44" t="inlineStr">
        <is>
          <t>제품코드[C5] 의 뒤 2글자. (일련번호)</t>
        </is>
      </c>
      <c r="D40" s="49" t="inlineStr">
        <is>
          <t>=RIGHT(C5,2)</t>
        </is>
      </c>
      <c r="E40" s="46">
        <f>'생산일보'!AB68</f>
        <v/>
      </c>
      <c r="F40" s="44" t="inlineStr">
        <is>
          <t>BR-01 → 01</t>
        </is>
      </c>
    </row>
    <row r="41" ht="30" customHeight="1">
      <c r="A41" s="50" t="n">
        <v>28</v>
      </c>
      <c r="B41" s="51" t="inlineStr">
        <is>
          <t>생산일보 F69</t>
        </is>
      </c>
      <c r="C41" s="52" t="inlineStr">
        <is>
          <t>제품코드[C5] 의 4번째 글자부터 2글자.</t>
        </is>
      </c>
      <c r="D41" s="53" t="inlineStr">
        <is>
          <t>=MID(C5,4,2)</t>
        </is>
      </c>
      <c r="E41" s="54">
        <f>'생산일보'!AB69</f>
        <v/>
      </c>
      <c r="F41" s="52" t="inlineStr">
        <is>
          <t>B(1) R(2) -(3) 0(4) 1(5) 이므로 4번째부터 2글자 = 01</t>
        </is>
      </c>
    </row>
    <row r="42" ht="30" customHeight="1">
      <c r="A42" s="19" t="n">
        <v>29</v>
      </c>
      <c r="B42" s="48" t="inlineStr">
        <is>
          <t>생산일보 F70</t>
        </is>
      </c>
      <c r="C42" s="44" t="inlineStr">
        <is>
          <t>제품코드[C5] 가 모두 몇 글자인가.</t>
        </is>
      </c>
      <c r="D42" s="49" t="inlineStr">
        <is>
          <t>=LEN(C5)</t>
        </is>
      </c>
      <c r="E42" s="46">
        <f>'생산일보'!AB70</f>
        <v/>
      </c>
      <c r="F42" s="44" t="inlineStr">
        <is>
          <t>붙임표(-)도 한 글자로 셉니다</t>
        </is>
      </c>
    </row>
    <row r="43" ht="30" customHeight="1">
      <c r="A43" s="50" t="n">
        <v>30</v>
      </c>
      <c r="B43" s="51" t="inlineStr">
        <is>
          <t>생산일보 F71</t>
        </is>
      </c>
      <c r="C43" s="52" t="inlineStr">
        <is>
          <t>라인[B5] 뒤에 "라인" 을 붙여  A라인  처럼 나오게.</t>
        </is>
      </c>
      <c r="D43" s="53" t="inlineStr">
        <is>
          <t>=B5&amp;"라인"</t>
        </is>
      </c>
      <c r="E43" s="54">
        <f>'생산일보'!AB71</f>
        <v/>
      </c>
      <c r="F43" s="52" t="inlineStr">
        <is>
          <t>=CONCAT(B5,"라인") 도 같은 결과입니다</t>
        </is>
      </c>
    </row>
    <row r="44" ht="30" customHeight="1">
      <c r="A44" s="19" t="n">
        <v>31</v>
      </c>
      <c r="B44" s="48" t="inlineStr">
        <is>
          <t>생산일보 F72</t>
        </is>
      </c>
      <c r="C44" s="44" t="inlineStr">
        <is>
          <t>비고[I5] 의 앞뒤 공백을 없앤 글자. (I5 에는 앞뒤로 빈칸이 들어 있습니다)</t>
        </is>
      </c>
      <c r="D44" s="49" t="inlineStr">
        <is>
          <t>=TRIM(I5)</t>
        </is>
      </c>
      <c r="E44" s="46">
        <f>'생산일보'!AB72</f>
        <v/>
      </c>
      <c r="F44" s="44" t="inlineStr">
        <is>
          <t>눈에는 안 보이는 공백 때문에 VLOOKUP 이 #N/A 가 나는 일이 많습니다</t>
        </is>
      </c>
    </row>
    <row r="45" ht="30" customHeight="1">
      <c r="A45" s="50" t="n">
        <v>32</v>
      </c>
      <c r="B45" s="51" t="inlineStr">
        <is>
          <t>생산일보 F74</t>
        </is>
      </c>
      <c r="C45" s="52" t="inlineStr">
        <is>
          <t>제품코드[C5] 에 해당하는 단가를 오른쪽 단가표[P5:R8] 에서 찾아오시오.</t>
        </is>
      </c>
      <c r="D45" s="53" t="inlineStr">
        <is>
          <t>=VLOOKUP(C5,$P$5:$R$8,3,FALSE)</t>
        </is>
      </c>
      <c r="E45" s="54">
        <f>'생산일보'!AB74</f>
        <v/>
      </c>
      <c r="F45" s="52" t="inlineStr">
        <is>
          <t>단가는 표의 3번째 열. FALSE(정확히 일치)를 빠뜨리면 엉뚱한 값이 나옵니다</t>
        </is>
      </c>
    </row>
    <row r="46" ht="30" customHeight="1">
      <c r="A46" s="19" t="n">
        <v>33</v>
      </c>
      <c r="B46" s="48" t="inlineStr">
        <is>
          <t>생산일보 F75</t>
        </is>
      </c>
      <c r="C46" s="44" t="inlineStr">
        <is>
          <t>제품코드[C6] 에 해당하는 제품명을 단가표에서 찾아오시오.</t>
        </is>
      </c>
      <c r="D46" s="49" t="inlineStr">
        <is>
          <t>=VLOOKUP(C6,$P$5:$R$8,2,FALSE)</t>
        </is>
      </c>
      <c r="E46" s="46">
        <f>'생산일보'!AB75</f>
        <v/>
      </c>
      <c r="F46" s="44" t="inlineStr">
        <is>
          <t>표의 맨 왼쪽 열에서 찾고, 오른쪽으로 몇 칸인지를 셉니다</t>
        </is>
      </c>
    </row>
    <row r="47" ht="30" customHeight="1">
      <c r="A47" s="50" t="n">
        <v>34</v>
      </c>
      <c r="B47" s="51" t="inlineStr">
        <is>
          <t>생산일보 F76</t>
        </is>
      </c>
      <c r="C47" s="52" t="inlineStr">
        <is>
          <t>생산수량이 가장 많았던 날의 제품명.</t>
        </is>
      </c>
      <c r="D47" s="53" t="inlineStr">
        <is>
          <t>=INDEX(D5:D29,MATCH(MAX(F5:F29),F5:F29,0))</t>
        </is>
      </c>
      <c r="E47" s="54">
        <f>'생산일보'!AB76</f>
        <v/>
      </c>
      <c r="F47" s="52" t="inlineStr">
        <is>
          <t>VLOOKUP 은 왼쪽으로 못 갑니다. 그럴 때 INDEX+MATCH 를 씁니다</t>
        </is>
      </c>
    </row>
    <row r="48" ht="30" customHeight="1">
      <c r="A48" s="19" t="n">
        <v>35</v>
      </c>
      <c r="B48" s="48" t="inlineStr">
        <is>
          <t>생산일보 F77</t>
        </is>
      </c>
      <c r="C48" s="44" t="inlineStr">
        <is>
          <t>첫 기록[A5] 의 요일을 "월" 처럼 한 글자로. (일요일=1)</t>
        </is>
      </c>
      <c r="D48" s="49" t="inlineStr">
        <is>
          <t>=CHOOSE(WEEKDAY(A5),"일","월","화","수","목","금","토")</t>
        </is>
      </c>
      <c r="E48" s="46">
        <f>'생산일보'!AB77</f>
        <v/>
      </c>
      <c r="F48" s="44" t="inlineStr">
        <is>
          <t>WEEKDAY 가 1~7 을 돌려주면 CHOOSE 가 그 번째 글자를 고릅니다</t>
        </is>
      </c>
    </row>
    <row r="49" ht="30" customHeight="1">
      <c r="A49" s="50" t="n">
        <v>36</v>
      </c>
      <c r="B49" s="51" t="inlineStr">
        <is>
          <t>생산일보 F79</t>
        </is>
      </c>
      <c r="C49" s="52" t="inlineStr">
        <is>
          <t>첫 기록[A5] 의 '월' 만 숫자로.</t>
        </is>
      </c>
      <c r="D49" s="53" t="inlineStr">
        <is>
          <t>=MONTH(A5)</t>
        </is>
      </c>
      <c r="E49" s="54">
        <f>'생산일보'!AB79</f>
        <v/>
      </c>
      <c r="F49" s="52" t="inlineStr"/>
    </row>
    <row r="50" ht="30" customHeight="1">
      <c r="A50" s="19" t="n">
        <v>37</v>
      </c>
      <c r="B50" s="48" t="inlineStr">
        <is>
          <t>생산일보 F80</t>
        </is>
      </c>
      <c r="C50" s="44" t="inlineStr">
        <is>
          <t>첫 기록[A5] 의 '일' 만 숫자로.</t>
        </is>
      </c>
      <c r="D50" s="49" t="inlineStr">
        <is>
          <t>=DAY(A5)</t>
        </is>
      </c>
      <c r="E50" s="46">
        <f>'생산일보'!AB80</f>
        <v/>
      </c>
      <c r="F50" s="44" t="inlineStr"/>
    </row>
    <row r="51" ht="30" customHeight="1">
      <c r="A51" s="50" t="n">
        <v>38</v>
      </c>
      <c r="B51" s="51" t="inlineStr">
        <is>
          <t>생산일보 F81</t>
        </is>
      </c>
      <c r="C51" s="52" t="inlineStr">
        <is>
          <t>첫 기록[A5] 의 요일 번호. (월요일이 1 이 되게)</t>
        </is>
      </c>
      <c r="D51" s="53" t="inlineStr">
        <is>
          <t>=WEEKDAY(A5,2)</t>
        </is>
      </c>
      <c r="E51" s="54">
        <f>'생산일보'!AB81</f>
        <v/>
      </c>
      <c r="F51" s="52" t="inlineStr">
        <is>
          <t>둘째 인수를 빼면 일요일이 1 입니다. 2 를 넣어야 월요일이 1</t>
        </is>
      </c>
    </row>
    <row r="52" ht="30" customHeight="1">
      <c r="A52" s="19" t="n">
        <v>39</v>
      </c>
      <c r="B52" s="48" t="inlineStr">
        <is>
          <t>생산일보 F82</t>
        </is>
      </c>
      <c r="C52" s="44" t="inlineStr">
        <is>
          <t>첫 기록[A5] 부터 마지막 기록[A29] 까지 며칠인가.</t>
        </is>
      </c>
      <c r="D52" s="49" t="inlineStr">
        <is>
          <t>=DAYS(A29,A5)</t>
        </is>
      </c>
      <c r="E52" s="46">
        <f>'생산일보'!AB82</f>
        <v/>
      </c>
      <c r="F52" s="44" t="inlineStr">
        <is>
          <t>=A29-A5 로도 됩니다. 결과가 날짜로 보이면 셀 서식을 '일반' 으로</t>
        </is>
      </c>
    </row>
    <row r="54" ht="22" customHeight="1">
      <c r="A54" s="47" t="inlineStr">
        <is>
          <t xml:space="preserve">  데이터베이스 함수 10문제</t>
        </is>
      </c>
    </row>
    <row r="55" ht="24" customHeight="1">
      <c r="A55" s="16" t="inlineStr">
        <is>
          <t>번호</t>
        </is>
      </c>
      <c r="B55" s="16" t="inlineStr">
        <is>
          <t>넣을 칸</t>
        </is>
      </c>
      <c r="C55" s="16" t="inlineStr">
        <is>
          <t>무엇을 구하나</t>
        </is>
      </c>
      <c r="D55" s="16" t="inlineStr">
        <is>
          <t>정답 수식</t>
        </is>
      </c>
      <c r="E55" s="16" t="inlineStr">
        <is>
          <t>정답값</t>
        </is>
      </c>
      <c r="F55" s="16" t="inlineStr">
        <is>
          <t>왜 그런가 · 자주 하는 실수</t>
        </is>
      </c>
    </row>
    <row r="56" ht="30" customHeight="1">
      <c r="A56" s="19" t="n">
        <v>1</v>
      </c>
      <c r="B56" s="48" t="inlineStr">
        <is>
          <t>DB함수 F28</t>
        </is>
      </c>
      <c r="C56" s="44" t="inlineStr">
        <is>
          <t>A라인의 생산수량 합계.  (조건 표 ① A5:A6 을 쓰시오)</t>
        </is>
      </c>
      <c r="D56" s="49" t="inlineStr">
        <is>
          <t>=DSUM(생산일보!$A$4:$N$29,"생산수량",A5:A6)</t>
        </is>
      </c>
      <c r="E56" s="46">
        <f>'DB함수'!AB28</f>
        <v/>
      </c>
      <c r="F56" s="44" t="inlineStr">
        <is>
          <t>전체 표는 머리글 줄(4행)부터 잡습니다. 필드 이름은 머리글과 글자가 똑같아야 합니다</t>
        </is>
      </c>
    </row>
    <row r="57" ht="30" customHeight="1">
      <c r="A57" s="50" t="n">
        <v>2</v>
      </c>
      <c r="B57" s="51" t="inlineStr">
        <is>
          <t>DB함수 F29</t>
        </is>
      </c>
      <c r="C57" s="52" t="inlineStr">
        <is>
          <t>A라인의 평균 불량수.  (조건 표 ①)</t>
        </is>
      </c>
      <c r="D57" s="53" t="inlineStr">
        <is>
          <t>=DAVERAGE(생산일보!$A$4:$N$29,"불량수",A5:A6)</t>
        </is>
      </c>
      <c r="E57" s="54">
        <f>'DB함수'!AB29</f>
        <v/>
      </c>
      <c r="F57" s="52" t="inlineStr"/>
    </row>
    <row r="58" ht="30" customHeight="1">
      <c r="A58" s="19" t="n">
        <v>3</v>
      </c>
      <c r="B58" s="48" t="inlineStr">
        <is>
          <t>DB함수 F30</t>
        </is>
      </c>
      <c r="C58" s="44" t="inlineStr">
        <is>
          <t>A라인의 최대 생산수량.  (조건 표 ①)</t>
        </is>
      </c>
      <c r="D58" s="49" t="inlineStr">
        <is>
          <t>=DMAX(생산일보!$A$4:$N$29,"생산수량",A5:A6)</t>
        </is>
      </c>
      <c r="E58" s="46">
        <f>'DB함수'!AB30</f>
        <v/>
      </c>
      <c r="F58" s="44" t="inlineStr"/>
    </row>
    <row r="59" ht="30" customHeight="1">
      <c r="A59" s="50" t="n">
        <v>4</v>
      </c>
      <c r="B59" s="51" t="inlineStr">
        <is>
          <t>DB함수 F31</t>
        </is>
      </c>
      <c r="C59" s="52" t="inlineStr">
        <is>
          <t>불량수가 10 이상인 날의 건수.  (조건 표 ② A9:A10)</t>
        </is>
      </c>
      <c r="D59" s="53" t="inlineStr">
        <is>
          <t>=DCOUNT(생산일보!$A$4:$N$29,"불량수",A9:A10)</t>
        </is>
      </c>
      <c r="E59" s="54">
        <f>'DB함수'!AB31</f>
        <v/>
      </c>
      <c r="F59" s="52" t="inlineStr">
        <is>
          <t>글자 필드를 세려면 DCOUNTA 를 씁니다</t>
        </is>
      </c>
    </row>
    <row r="60" ht="30" customHeight="1">
      <c r="A60" s="19" t="n">
        <v>5</v>
      </c>
      <c r="B60" s="48" t="inlineStr">
        <is>
          <t>DB함수 F32</t>
        </is>
      </c>
      <c r="C60" s="44" t="inlineStr">
        <is>
          <t>불량수가 10 이상인 날 중 가장 적은 생산수량.  (조건 표 ②)</t>
        </is>
      </c>
      <c r="D60" s="49" t="inlineStr">
        <is>
          <t>=DMIN(생산일보!$A$4:$N$29,"생산수량",A9:A10)</t>
        </is>
      </c>
      <c r="E60" s="46">
        <f>'DB함수'!AB32</f>
        <v/>
      </c>
      <c r="F60" s="44" t="inlineStr"/>
    </row>
    <row r="61" ht="30" customHeight="1">
      <c r="A61" s="50" t="n">
        <v>6</v>
      </c>
      <c r="B61" s="51" t="inlineStr">
        <is>
          <t>DB함수 F34</t>
        </is>
      </c>
      <c r="C61" s="52" t="inlineStr">
        <is>
          <t>B라인이면서 생산수량 300 이상인 날의 최소 작업시간.  (조건 표 ③ A13:B14)</t>
        </is>
      </c>
      <c r="D61" s="53" t="inlineStr">
        <is>
          <t>=DMIN(생산일보!$A$4:$N$29,"작업시간",A13:B14)</t>
        </is>
      </c>
      <c r="E61" s="54">
        <f>'DB함수'!AB34</f>
        <v/>
      </c>
      <c r="F61" s="52" t="inlineStr">
        <is>
          <t>같은 줄에 나란히 쓰면 둘 다 만족해야 합니다</t>
        </is>
      </c>
    </row>
    <row r="62" ht="30" customHeight="1">
      <c r="A62" s="19" t="n">
        <v>7</v>
      </c>
      <c r="B62" s="48" t="inlineStr">
        <is>
          <t>DB함수 F35</t>
        </is>
      </c>
      <c r="C62" s="44" t="inlineStr">
        <is>
          <t>B라인이면서 생산수량 300 이상인 날의 생산수량 합계.  (조건 표 ③)</t>
        </is>
      </c>
      <c r="D62" s="49" t="inlineStr">
        <is>
          <t>=DSUM(생산일보!$A$4:$N$29,"생산수량",A13:B14)</t>
        </is>
      </c>
      <c r="E62" s="46">
        <f>'DB함수'!AB35</f>
        <v/>
      </c>
      <c r="F62" s="44" t="inlineStr"/>
    </row>
    <row r="63" ht="30" customHeight="1">
      <c r="A63" s="50" t="n">
        <v>8</v>
      </c>
      <c r="B63" s="51" t="inlineStr">
        <is>
          <t>DB함수 F36</t>
        </is>
      </c>
      <c r="C63" s="52" t="inlineStr">
        <is>
          <t>A라인 또는 C라인인 날의 생산수량 합계.  (조건 표 ④ A17:A19)</t>
        </is>
      </c>
      <c r="D63" s="53" t="inlineStr">
        <is>
          <t>=DSUM(생산일보!$A$4:$N$29,"생산수량",A17:A19)</t>
        </is>
      </c>
      <c r="E63" s="54">
        <f>'DB함수'!AB36</f>
        <v/>
      </c>
      <c r="F63" s="52" t="inlineStr">
        <is>
          <t>A 를 17행 아래 18행에, C 를 19행에 — 줄이 다르면 또는(OR)</t>
        </is>
      </c>
    </row>
    <row r="64" ht="30" customHeight="1">
      <c r="A64" s="19" t="n">
        <v>9</v>
      </c>
      <c r="B64" s="48" t="inlineStr">
        <is>
          <t>DB함수 F37</t>
        </is>
      </c>
      <c r="C64" s="44" t="inlineStr">
        <is>
          <t>제품명이 "감속기어" 인 날의 평균 생산수량.  (조건 표 ⑤ A22:A23)</t>
        </is>
      </c>
      <c r="D64" s="49" t="inlineStr">
        <is>
          <t>=DAVERAGE(생산일보!$A$4:$N$29,"생산수량",A22:A23)</t>
        </is>
      </c>
      <c r="E64" s="46">
        <f>'DB함수'!AB37</f>
        <v/>
      </c>
      <c r="F64" s="44" t="inlineStr"/>
    </row>
    <row r="65" ht="30" customHeight="1">
      <c r="A65" s="50" t="n">
        <v>10</v>
      </c>
      <c r="B65" s="51" t="inlineStr">
        <is>
          <t>DB함수 F38</t>
        </is>
      </c>
      <c r="C65" s="52" t="inlineStr">
        <is>
          <t>제품명이 "감속기어" 인 날의 기록 건수. (글자 필드를 세시오)</t>
        </is>
      </c>
      <c r="D65" s="53" t="inlineStr">
        <is>
          <t>=DCOUNTA(생산일보!$A$4:$N$29,"제품명",A22:A23)</t>
        </is>
      </c>
      <c r="E65" s="54">
        <f>'DB함수'!AB38</f>
        <v/>
      </c>
      <c r="F65" s="52" t="inlineStr">
        <is>
          <t>DCOUNT 로 글자 필드를 세면 0 이 나옵니다</t>
        </is>
      </c>
    </row>
  </sheetData>
  <mergeCells count="5">
    <mergeCell ref="A2:F2"/>
    <mergeCell ref="A54:F54"/>
    <mergeCell ref="A1:F1"/>
    <mergeCell ref="A12:F12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2026-09-28T00:40:34Z</dcterms:created>
  <dcterms:modified xmlns:dcterms="http://purl.org/dc/terms/" xmlns:xsi="http://www.w3.org/2001/XMLSchema-instance" xsi:type="dcterms:W3CDTF">2026-09-28T00:40:34Z</dcterms:modified>
</cp:coreProperties>
</file>