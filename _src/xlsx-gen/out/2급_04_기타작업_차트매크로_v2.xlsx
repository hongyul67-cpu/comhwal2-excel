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월별실적" sheetId="2" state="visible" r:id="rId2"/>
    <sheet xmlns:r="http://schemas.openxmlformats.org/officeDocument/2006/relationships" name="인쇄연습" sheetId="3" state="visible" r:id="rId3"/>
    <sheet xmlns:r="http://schemas.openxmlformats.org/officeDocument/2006/relationships" name="미션" sheetId="4" state="visible" r:id="rId4"/>
    <sheet xmlns:r="http://schemas.openxmlformats.org/officeDocument/2006/relationships" name="따라하기" sheetId="5" state="visible" r:id="rId5"/>
    <sheet xmlns:r="http://schemas.openxmlformats.org/officeDocument/2006/relationships" name="계산 문제 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7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5"/>
    </font>
    <font>
      <b val="1"/>
      <color rgb="00FFFFFF"/>
      <sz val="11"/>
    </font>
    <font>
      <i val="1"/>
      <color rgb="00A6A6A6"/>
    </font>
    <font>
      <b val="1"/>
      <color rgb="002E5C8A"/>
    </font>
    <font>
      <b val="1"/>
      <color rgb="001F4E79"/>
    </font>
    <font>
      <b val="1"/>
      <color rgb="001F3864"/>
      <sz val="14"/>
    </font>
    <font>
      <b val="1"/>
      <color rgb="002E5C8A"/>
      <sz val="10.5"/>
    </font>
    <font>
      <sz val="10.5"/>
    </font>
    <font>
      <b val="1"/>
      <sz val="10"/>
    </font>
    <font>
      <color rgb="007F7F7F"/>
      <sz val="10"/>
    </font>
    <font>
      <sz val="13"/>
    </font>
    <font>
      <b val="1"/>
      <color rgb="00FFFFFF"/>
      <sz val="12"/>
    </font>
    <font>
      <b val="1"/>
      <color rgb="00C55A11"/>
      <sz val="10"/>
    </font>
    <font>
      <b val="1"/>
      <color rgb="00C55A11"/>
      <sz val="10.5"/>
    </font>
    <font>
      <b val="1"/>
      <color rgb="002E5C8A"/>
      <sz val="10"/>
    </font>
    <font>
      <b val="1"/>
      <color rgb="00006100"/>
      <sz val="10"/>
    </font>
    <font>
      <color rgb="00006100"/>
      <sz val="10.5"/>
    </font>
    <font>
      <b val="1"/>
      <color rgb="00FFFFFF"/>
      <sz val="11.5"/>
    </font>
    <font>
      <b val="1"/>
      <color rgb="00C55A11"/>
    </font>
    <font>
      <sz val="10"/>
    </font>
    <font>
      <name val="Consolas"/>
      <b val="1"/>
      <color rgb="001F4E79"/>
      <sz val="10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EBF7EE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164" fontId="7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0" fillId="0" borderId="1" pivotButton="0" quotePrefix="0" xfId="0"/>
    <xf numFmtId="3" fontId="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5" fillId="4" borderId="1" applyAlignment="1" pivotButton="0" quotePrefix="0" xfId="0">
      <alignment horizontal="center" vertical="center"/>
    </xf>
    <xf numFmtId="0" fontId="16" fillId="3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 wrapText="1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vertical="center" wrapText="1"/>
    </xf>
    <xf numFmtId="0" fontId="22" fillId="8" borderId="0" applyAlignment="1" pivotButton="0" quotePrefix="0" xfId="0">
      <alignment vertical="center"/>
    </xf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vertical="center" wrapText="1"/>
    </xf>
    <xf numFmtId="0" fontId="25" fillId="9" borderId="1" applyAlignment="1" pivotButton="0" quotePrefix="0" xfId="0">
      <alignment vertical="center" wrapText="1"/>
    </xf>
    <xf numFmtId="0" fontId="26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④ 기타작업 — 차트 · 매크로 · 페이지 설정</t>
        </is>
      </c>
    </row>
    <row r="3" ht="19" customHeight="1">
      <c r="B3" s="2" t="inlineStr"/>
    </row>
    <row r="4" ht="24" customHeight="1">
      <c r="B4" s="3" t="inlineStr">
        <is>
          <t>시트 안내</t>
        </is>
      </c>
    </row>
    <row r="5" ht="19" customHeight="1">
      <c r="B5" s="2" t="inlineStr">
        <is>
          <t>월별실적 — 차트를 만들 12개월 자료 + 계산 문제 4개</t>
        </is>
      </c>
    </row>
    <row r="6" ht="19" customHeight="1">
      <c r="B6" s="2" t="inlineStr">
        <is>
          <t>인쇄연습 — 80행짜리 긴 표. 페이지 설정·인쇄 제목·틀 고정 연습용</t>
        </is>
      </c>
    </row>
    <row r="7" ht="19" customHeight="1">
      <c r="B7" s="2" t="inlineStr">
        <is>
          <t>미션     — 해야 할 일 14가지 체크리스트</t>
        </is>
      </c>
    </row>
    <row r="8" ht="19" customHeight="1">
      <c r="B8" s="2" t="inlineStr">
        <is>
          <t>따라하기 — 14가지를 1단계·2단계… 로 풀어 쓴 것 (이것이 정답입니다)</t>
        </is>
      </c>
    </row>
    <row r="9" ht="19" customHeight="1">
      <c r="B9" s="2" t="inlineStr"/>
    </row>
    <row r="10" ht="24" customHeight="1">
      <c r="B10" s="3" t="inlineStr">
        <is>
          <t>매크로를 쓰려면</t>
        </is>
      </c>
    </row>
    <row r="11" ht="19" customHeight="1">
      <c r="B11" s="2" t="inlineStr">
        <is>
          <t>① [파일 → 옵션 → 리본 사용자 지정] 에서 '개발 도구' 를 켭니다.</t>
        </is>
      </c>
    </row>
    <row r="12" ht="19" customHeight="1">
      <c r="B12" s="2" t="inlineStr">
        <is>
          <t>② 매크로를 넣은 뒤에는 반드시 '다른 이름으로 저장' → [Excel 매크로 사용 통합 문서 (*.xlsm)].</t>
        </is>
      </c>
    </row>
    <row r="13" ht="19" customHeight="1">
      <c r="B13" s="2" t="inlineStr">
        <is>
          <t xml:space="preserve">   그냥 .xlsx 로 저장하면 매크로가 지워집니다. 실기 시험에서도 감점 요인입니다.</t>
        </is>
      </c>
    </row>
    <row r="14" ht="34" customHeight="1">
      <c r="B14" s="4" t="inlineStr">
        <is>
          <t>이 파일은 .xlsx 라서 매크로가 들어 있지 않습니다. 매크로 미션을 한 뒤에는 xlsm 으로 저장하세요.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1" customWidth="1" min="9" max="9"/>
    <col width="11" customWidth="1" min="10" max="10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6" customHeight="1">
      <c r="A1" s="5" t="inlineStr">
        <is>
          <t>2026년 A라인 월별 생산 실적</t>
        </is>
      </c>
    </row>
    <row r="3" ht="24" customHeight="1">
      <c r="A3" s="6" t="inlineStr">
        <is>
          <t>월</t>
        </is>
      </c>
      <c r="B3" s="6" t="inlineStr">
        <is>
          <t>계획수량</t>
        </is>
      </c>
      <c r="C3" s="6" t="inlineStr">
        <is>
          <t>생산수량</t>
        </is>
      </c>
      <c r="D3" s="6" t="inlineStr">
        <is>
          <t>불량수</t>
        </is>
      </c>
      <c r="E3" s="6" t="inlineStr">
        <is>
          <t>불량률</t>
        </is>
      </c>
      <c r="F3" s="6" t="inlineStr">
        <is>
          <t>가동률</t>
        </is>
      </c>
    </row>
    <row r="4">
      <c r="A4" s="7" t="inlineStr">
        <is>
          <t>1월</t>
        </is>
      </c>
      <c r="B4" s="8" t="n">
        <v>9000</v>
      </c>
      <c r="C4" s="8" t="n">
        <v>8720</v>
      </c>
      <c r="D4" s="8" t="n">
        <v>210</v>
      </c>
      <c r="E4" s="9" t="n">
        <v>0</v>
      </c>
      <c r="F4" s="9" t="n">
        <v>0</v>
      </c>
      <c r="AB4">
        <f>D4/C4</f>
        <v/>
      </c>
      <c r="AC4">
        <f>C4/B4</f>
        <v/>
      </c>
    </row>
    <row r="5">
      <c r="A5" s="7" t="inlineStr">
        <is>
          <t>2월</t>
        </is>
      </c>
      <c r="B5" s="8" t="n">
        <v>8500</v>
      </c>
      <c r="C5" s="8" t="n">
        <v>8610</v>
      </c>
      <c r="D5" s="8" t="n">
        <v>175</v>
      </c>
      <c r="E5" s="10" t="n"/>
      <c r="F5" s="10" t="n"/>
      <c r="AB5">
        <f>D5/C5</f>
        <v/>
      </c>
      <c r="AC5">
        <f>C5/B5</f>
        <v/>
      </c>
    </row>
    <row r="6">
      <c r="A6" s="7" t="inlineStr">
        <is>
          <t>3월</t>
        </is>
      </c>
      <c r="B6" s="8" t="n">
        <v>10000</v>
      </c>
      <c r="C6" s="8" t="n">
        <v>9840</v>
      </c>
      <c r="D6" s="8" t="n">
        <v>305</v>
      </c>
      <c r="E6" s="10" t="n"/>
      <c r="F6" s="10" t="n"/>
      <c r="AB6">
        <f>D6/C6</f>
        <v/>
      </c>
      <c r="AC6">
        <f>C6/B6</f>
        <v/>
      </c>
    </row>
    <row r="7">
      <c r="A7" s="7" t="inlineStr">
        <is>
          <t>4월</t>
        </is>
      </c>
      <c r="B7" s="8" t="n">
        <v>9500</v>
      </c>
      <c r="C7" s="8" t="n">
        <v>9120</v>
      </c>
      <c r="D7" s="8" t="n">
        <v>198</v>
      </c>
      <c r="E7" s="10" t="n"/>
      <c r="F7" s="10" t="n"/>
      <c r="AB7">
        <f>D7/C7</f>
        <v/>
      </c>
      <c r="AC7">
        <f>C7/B7</f>
        <v/>
      </c>
    </row>
    <row r="8">
      <c r="A8" s="7" t="inlineStr">
        <is>
          <t>5월</t>
        </is>
      </c>
      <c r="B8" s="8" t="n">
        <v>9800</v>
      </c>
      <c r="C8" s="8" t="n">
        <v>10150</v>
      </c>
      <c r="D8" s="8" t="n">
        <v>142</v>
      </c>
      <c r="E8" s="10" t="n"/>
      <c r="F8" s="10" t="n"/>
      <c r="AB8">
        <f>D8/C8</f>
        <v/>
      </c>
      <c r="AC8">
        <f>C8/B8</f>
        <v/>
      </c>
    </row>
    <row r="9">
      <c r="A9" s="7" t="inlineStr">
        <is>
          <t>6월</t>
        </is>
      </c>
      <c r="B9" s="8" t="n">
        <v>10500</v>
      </c>
      <c r="C9" s="8" t="n">
        <v>10020</v>
      </c>
      <c r="D9" s="8" t="n">
        <v>268</v>
      </c>
      <c r="E9" s="10" t="n"/>
      <c r="F9" s="10" t="n"/>
      <c r="AB9">
        <f>D9/C9</f>
        <v/>
      </c>
      <c r="AC9">
        <f>C9/B9</f>
        <v/>
      </c>
    </row>
    <row r="10">
      <c r="A10" s="7" t="inlineStr">
        <is>
          <t>7월</t>
        </is>
      </c>
      <c r="B10" s="8" t="n">
        <v>9000</v>
      </c>
      <c r="C10" s="8" t="n">
        <v>8450</v>
      </c>
      <c r="D10" s="8" t="n">
        <v>320</v>
      </c>
      <c r="E10" s="10" t="n"/>
      <c r="F10" s="10" t="n"/>
      <c r="AB10">
        <f>D10/C10</f>
        <v/>
      </c>
      <c r="AC10">
        <f>C10/B10</f>
        <v/>
      </c>
    </row>
    <row r="11">
      <c r="A11" s="7" t="inlineStr">
        <is>
          <t>8월</t>
        </is>
      </c>
      <c r="B11" s="8" t="n">
        <v>7500</v>
      </c>
      <c r="C11" s="8" t="n">
        <v>7180</v>
      </c>
      <c r="D11" s="8" t="n">
        <v>155</v>
      </c>
      <c r="E11" s="10" t="n"/>
      <c r="F11" s="10" t="n"/>
      <c r="AB11">
        <f>D11/C11</f>
        <v/>
      </c>
      <c r="AC11">
        <f>C11/B11</f>
        <v/>
      </c>
    </row>
    <row r="12">
      <c r="A12" s="7" t="inlineStr">
        <is>
          <t>9월</t>
        </is>
      </c>
      <c r="B12" s="8" t="n">
        <v>10200</v>
      </c>
      <c r="C12" s="8" t="n">
        <v>10480</v>
      </c>
      <c r="D12" s="8" t="n">
        <v>188</v>
      </c>
      <c r="E12" s="10" t="n"/>
      <c r="F12" s="10" t="n"/>
      <c r="AB12">
        <f>D12/C12</f>
        <v/>
      </c>
      <c r="AC12">
        <f>C12/B12</f>
        <v/>
      </c>
    </row>
    <row r="13">
      <c r="A13" s="7" t="inlineStr">
        <is>
          <t>10월</t>
        </is>
      </c>
      <c r="B13" s="8" t="n">
        <v>10800</v>
      </c>
      <c r="C13" s="8" t="n">
        <v>10390</v>
      </c>
      <c r="D13" s="8" t="n">
        <v>242</v>
      </c>
      <c r="E13" s="10" t="n"/>
      <c r="F13" s="10" t="n"/>
      <c r="AB13">
        <f>D13/C13</f>
        <v/>
      </c>
      <c r="AC13">
        <f>C13/B13</f>
        <v/>
      </c>
    </row>
    <row r="14">
      <c r="A14" s="7" t="inlineStr">
        <is>
          <t>11월</t>
        </is>
      </c>
      <c r="B14" s="8" t="n">
        <v>11000</v>
      </c>
      <c r="C14" s="8" t="n">
        <v>11260</v>
      </c>
      <c r="D14" s="8" t="n">
        <v>165</v>
      </c>
      <c r="E14" s="10" t="n"/>
      <c r="F14" s="10" t="n"/>
      <c r="AB14">
        <f>D14/C14</f>
        <v/>
      </c>
      <c r="AC14">
        <f>C14/B14</f>
        <v/>
      </c>
    </row>
    <row r="15">
      <c r="A15" s="7" t="inlineStr">
        <is>
          <t>12월</t>
        </is>
      </c>
      <c r="B15" s="8" t="n">
        <v>9600</v>
      </c>
      <c r="C15" s="8" t="n">
        <v>9030</v>
      </c>
      <c r="D15" s="8" t="n">
        <v>279</v>
      </c>
      <c r="E15" s="10" t="n"/>
      <c r="F15" s="10" t="n"/>
      <c r="AB15">
        <f>D15/C15</f>
        <v/>
      </c>
      <c r="AC15">
        <f>C15/B15</f>
        <v/>
      </c>
    </row>
    <row r="17">
      <c r="A17" s="11" t="inlineStr">
        <is>
          <t>채점 →</t>
        </is>
      </c>
      <c r="E17" s="12">
        <f>SUMPRODUCT(--(ROUND($E$4:$E$15,4)=ROUND($AB$4:$AB$15,4)))&amp;" / 12"</f>
        <v/>
      </c>
      <c r="F17" s="12">
        <f>SUMPRODUCT(--(ROUND($F$4:$F$15,4)=ROUND($AC$4:$AC$15,4)))&amp;" / 12"</f>
        <v/>
      </c>
    </row>
    <row r="18" ht="30" customHeight="1">
      <c r="A18" s="13" t="inlineStr">
        <is>
          <t>E4 에 불량률 =D4/C4, F4 에 가동률 =C4/B4 를 만들고 아래로 끌어 채우세요. 서식이 0.0% 로 되어 있으니 *100 을 하면 안 됩니다.</t>
        </is>
      </c>
    </row>
    <row r="20" ht="26" customHeight="1">
      <c r="A20" s="14" t="inlineStr">
        <is>
          <t>■ 계산 문제 4개</t>
        </is>
      </c>
    </row>
    <row r="21" ht="26" customHeight="1">
      <c r="A21" s="6" t="inlineStr">
        <is>
          <t>번호 ▶ 넣을 칸</t>
        </is>
      </c>
      <c r="B21" s="6" t="inlineStr">
        <is>
          <t>문제 — 무엇을 구하나</t>
        </is>
      </c>
      <c r="C21" s="15" t="n"/>
      <c r="D21" s="16" t="n"/>
      <c r="E21" s="6" t="inlineStr">
        <is>
          <t>답</t>
        </is>
      </c>
      <c r="F21" s="6" t="inlineStr">
        <is>
          <t>채점</t>
        </is>
      </c>
      <c r="G21" s="6" t="inlineStr">
        <is>
          <t>힌트</t>
        </is>
      </c>
      <c r="H21" s="15" t="n"/>
      <c r="I21" s="15" t="n"/>
      <c r="J21" s="16" t="n"/>
    </row>
    <row r="22" ht="21" customHeight="1">
      <c r="A22" s="17" t="inlineStr">
        <is>
          <t xml:space="preserve">  차트에 넣을 값 — ▶ 표시된 칸(E열)에</t>
        </is>
      </c>
    </row>
    <row r="23" ht="26" customHeight="1">
      <c r="A23" s="18" t="inlineStr">
        <is>
          <t>1  ▶E23</t>
        </is>
      </c>
      <c r="B23" s="19" t="inlineStr">
        <is>
          <t>한 해 생산수량[C4:C15] 의 합계.</t>
        </is>
      </c>
      <c r="C23" s="20" t="n"/>
      <c r="D23" s="20" t="n"/>
      <c r="E23" s="21" t="n">
        <v>0</v>
      </c>
      <c r="F23" s="22">
        <f>IF(NOT(_xlfn.ISFORMULA(E23)),"↖ 0 지우고 수식",IF(IFERROR(ROUND(E23,4)=ROUND(AB23,4),E23=AB23),"✔ 맞음","✘ 다시"))</f>
        <v/>
      </c>
      <c r="G23" s="23" t="inlineStr">
        <is>
          <t>SUM</t>
        </is>
      </c>
      <c r="H23" s="20" t="n"/>
      <c r="I23" s="20" t="n"/>
      <c r="J23" s="20" t="n"/>
      <c r="AB23">
        <f>SUM(C4:C15)</f>
        <v/>
      </c>
    </row>
    <row r="24" ht="26" customHeight="1">
      <c r="A24" s="18" t="inlineStr">
        <is>
          <t>2  ▶E24</t>
        </is>
      </c>
      <c r="B24" s="19" t="inlineStr">
        <is>
          <t>생산수량이 가장 많았던 달의 수량.</t>
        </is>
      </c>
      <c r="C24" s="20" t="n"/>
      <c r="D24" s="20" t="n"/>
      <c r="E24" s="21" t="n">
        <v>0</v>
      </c>
      <c r="F24" s="22">
        <f>IF(NOT(_xlfn.ISFORMULA(E24)),"↖ 0 지우고 수식",IF(IFERROR(ROUND(E24,4)=ROUND(AB24,4),E24=AB24),"✔ 맞음","✘ 다시"))</f>
        <v/>
      </c>
      <c r="G24" s="23" t="inlineStr">
        <is>
          <t>MAX</t>
        </is>
      </c>
      <c r="H24" s="20" t="n"/>
      <c r="I24" s="20" t="n"/>
      <c r="J24" s="20" t="n"/>
      <c r="AB24">
        <f>MAX(C4:C15)</f>
        <v/>
      </c>
    </row>
    <row r="25" ht="26" customHeight="1">
      <c r="A25" s="18" t="inlineStr">
        <is>
          <t>3  ▶E25</t>
        </is>
      </c>
      <c r="B25" s="19" t="inlineStr">
        <is>
          <t>생산수량이 가장 많았던 달의 이름. (예: 11월)</t>
        </is>
      </c>
      <c r="C25" s="20" t="n"/>
      <c r="D25" s="20" t="n"/>
      <c r="E25" s="24" t="n">
        <v>0</v>
      </c>
      <c r="F25" s="22">
        <f>IF(NOT(_xlfn.ISFORMULA(E25)),"↖ 0 지우고 수식",IF(IFERROR(ROUND(E25,4)=ROUND(AB25,4),E25=AB25),"✔ 맞음","✘ 다시"))</f>
        <v/>
      </c>
      <c r="G25" s="23" t="inlineStr">
        <is>
          <t>INDEX 와 MATCH 를 겹쳐서</t>
        </is>
      </c>
      <c r="H25" s="20" t="n"/>
      <c r="I25" s="20" t="n"/>
      <c r="J25" s="20" t="n"/>
      <c r="AB25">
        <f>INDEX(A4:A15,MATCH(MAX(C4:C15),C4:C15,0))</f>
        <v/>
      </c>
    </row>
    <row r="26" ht="26" customHeight="1">
      <c r="A26" s="18" t="inlineStr">
        <is>
          <t>4  ▶E26</t>
        </is>
      </c>
      <c r="B26" s="19" t="inlineStr">
        <is>
          <t>계획수량[B4:B15] 을 넘긴 달의 수.</t>
        </is>
      </c>
      <c r="C26" s="20" t="n"/>
      <c r="D26" s="20" t="n"/>
      <c r="E26" s="24" t="n">
        <v>0</v>
      </c>
      <c r="F26" s="22">
        <f>IF(NOT(_xlfn.ISFORMULA(E26)),"↖ 0 지우고 수식",IF(IFERROR(ROUND(E26,4)=ROUND(AB26,4),E26=AB26),"✔ 맞음","✘ 다시"))</f>
        <v/>
      </c>
      <c r="G26" s="23" t="inlineStr">
        <is>
          <t>COUNTIF 로는 안 됩니다 — SUMPRODUCT 로 두 범위를 견줍니다</t>
        </is>
      </c>
      <c r="H26" s="20" t="n"/>
      <c r="I26" s="20" t="n"/>
      <c r="J26" s="20" t="n"/>
      <c r="AB26">
        <f>SUMPRODUCT(--(C4:C15&gt;B4:B15))</f>
        <v/>
      </c>
    </row>
  </sheetData>
  <mergeCells count="14">
    <mergeCell ref="G23:J23"/>
    <mergeCell ref="G26:J26"/>
    <mergeCell ref="A22:J22"/>
    <mergeCell ref="B23:D23"/>
    <mergeCell ref="A1:F1"/>
    <mergeCell ref="B26:D26"/>
    <mergeCell ref="G21:J21"/>
    <mergeCell ref="G24:J24"/>
    <mergeCell ref="B21:D21"/>
    <mergeCell ref="A20:J20"/>
    <mergeCell ref="A18:F18"/>
    <mergeCell ref="G25:J25"/>
    <mergeCell ref="B25:D25"/>
    <mergeCell ref="B24:D24"/>
  </mergeCells>
  <conditionalFormatting sqref="E17:F17">
    <cfRule type="expression" priority="1" dxfId="0">
      <formula>ISNUMBER(SEARCH("맞",E17))</formula>
    </cfRule>
    <cfRule type="expression" priority="2" dxfId="1">
      <formula>ISNUMBER(SEARCH("다시",E17))</formula>
    </cfRule>
  </conditionalFormatting>
  <conditionalFormatting sqref="F22:F26">
    <cfRule type="expression" priority="3" dxfId="0">
      <formula>ISNUMBER(SEARCH("맞",F22))</formula>
    </cfRule>
    <cfRule type="expression" priority="4" dxfId="1">
      <formula>ISNUMBER(SEARCH("다시",F22))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9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 ht="26" customHeight="1">
      <c r="A1" s="14" t="inlineStr">
        <is>
          <t>공정별 일일 생산 기록 (인쇄 연습용 · 80행)</t>
        </is>
      </c>
    </row>
    <row r="3" ht="24" customHeight="1">
      <c r="A3" s="6" t="inlineStr">
        <is>
          <t>일자</t>
        </is>
      </c>
      <c r="B3" s="6" t="inlineStr">
        <is>
          <t>공정</t>
        </is>
      </c>
      <c r="C3" s="6" t="inlineStr">
        <is>
          <t>설비</t>
        </is>
      </c>
      <c r="D3" s="6" t="inlineStr">
        <is>
          <t>제품</t>
        </is>
      </c>
      <c r="E3" s="6" t="inlineStr">
        <is>
          <t>교대</t>
        </is>
      </c>
      <c r="F3" s="6" t="inlineStr">
        <is>
          <t>생산량</t>
        </is>
      </c>
      <c r="G3" s="6" t="inlineStr">
        <is>
          <t>불량수</t>
        </is>
      </c>
      <c r="H3" s="6" t="inlineStr">
        <is>
          <t>가동시간</t>
        </is>
      </c>
      <c r="I3" s="6" t="inlineStr">
        <is>
          <t>작업자</t>
        </is>
      </c>
    </row>
    <row r="4">
      <c r="A4" s="25" t="n">
        <v>46083</v>
      </c>
      <c r="B4" s="7" t="inlineStr">
        <is>
          <t>가공</t>
        </is>
      </c>
      <c r="C4" s="7" t="inlineStr">
        <is>
          <t>CNC-01</t>
        </is>
      </c>
      <c r="D4" s="26" t="inlineStr">
        <is>
          <t>베어링유닛</t>
        </is>
      </c>
      <c r="E4" s="7" t="inlineStr">
        <is>
          <t>주간</t>
        </is>
      </c>
      <c r="F4" s="8" t="n">
        <v>345</v>
      </c>
      <c r="G4" s="26" t="n">
        <v>4</v>
      </c>
      <c r="H4" s="26" t="n">
        <v>7.1</v>
      </c>
      <c r="I4" s="7" t="inlineStr">
        <is>
          <t>김현수</t>
        </is>
      </c>
    </row>
    <row r="5">
      <c r="A5" s="25" t="n">
        <v>46083</v>
      </c>
      <c r="B5" s="7" t="inlineStr">
        <is>
          <t>조립</t>
        </is>
      </c>
      <c r="C5" s="7" t="inlineStr">
        <is>
          <t>ROB-01</t>
        </is>
      </c>
      <c r="D5" s="26" t="inlineStr">
        <is>
          <t>베어링유닛</t>
        </is>
      </c>
      <c r="E5" s="7" t="inlineStr">
        <is>
          <t>야간</t>
        </is>
      </c>
      <c r="F5" s="8" t="n">
        <v>204</v>
      </c>
      <c r="G5" s="26" t="n">
        <v>2</v>
      </c>
      <c r="H5" s="26" t="n">
        <v>7.7</v>
      </c>
      <c r="I5" s="7" t="inlineStr">
        <is>
          <t>박지훈</t>
        </is>
      </c>
    </row>
    <row r="6">
      <c r="A6" s="25" t="n">
        <v>46083</v>
      </c>
      <c r="B6" s="7" t="inlineStr">
        <is>
          <t>검사</t>
        </is>
      </c>
      <c r="C6" s="7" t="inlineStr">
        <is>
          <t>VIS-01</t>
        </is>
      </c>
      <c r="D6" s="26" t="inlineStr">
        <is>
          <t>감속기어</t>
        </is>
      </c>
      <c r="E6" s="7" t="inlineStr">
        <is>
          <t>주간</t>
        </is>
      </c>
      <c r="F6" s="8" t="n">
        <v>228</v>
      </c>
      <c r="G6" s="26" t="n">
        <v>11</v>
      </c>
      <c r="H6" s="26" t="n">
        <v>7.4</v>
      </c>
      <c r="I6" s="7" t="inlineStr">
        <is>
          <t>이서연</t>
        </is>
      </c>
    </row>
    <row r="7">
      <c r="A7" s="25" t="n">
        <v>46083</v>
      </c>
      <c r="B7" s="7" t="inlineStr">
        <is>
          <t>포장</t>
        </is>
      </c>
      <c r="C7" s="7" t="inlineStr">
        <is>
          <t>PKG-01</t>
        </is>
      </c>
      <c r="D7" s="26" t="inlineStr">
        <is>
          <t>감속기어</t>
        </is>
      </c>
      <c r="E7" s="7" t="inlineStr">
        <is>
          <t>야간</t>
        </is>
      </c>
      <c r="F7" s="8" t="n">
        <v>439</v>
      </c>
      <c r="G7" s="26" t="n">
        <v>6</v>
      </c>
      <c r="H7" s="26" t="n">
        <v>6.6</v>
      </c>
      <c r="I7" s="7" t="inlineStr">
        <is>
          <t>최민재</t>
        </is>
      </c>
    </row>
    <row r="8">
      <c r="A8" s="25" t="n">
        <v>46084</v>
      </c>
      <c r="B8" s="7" t="inlineStr">
        <is>
          <t>가공</t>
        </is>
      </c>
      <c r="C8" s="7" t="inlineStr">
        <is>
          <t>CNC-01</t>
        </is>
      </c>
      <c r="D8" s="26" t="inlineStr">
        <is>
          <t>구동축</t>
        </is>
      </c>
      <c r="E8" s="7" t="inlineStr">
        <is>
          <t>주간</t>
        </is>
      </c>
      <c r="F8" s="8" t="n">
        <v>402</v>
      </c>
      <c r="G8" s="26" t="n">
        <v>13</v>
      </c>
      <c r="H8" s="26" t="n">
        <v>6.6</v>
      </c>
      <c r="I8" s="7" t="inlineStr">
        <is>
          <t>정우진</t>
        </is>
      </c>
    </row>
    <row r="9">
      <c r="A9" s="25" t="n">
        <v>46084</v>
      </c>
      <c r="B9" s="7" t="inlineStr">
        <is>
          <t>조립</t>
        </is>
      </c>
      <c r="C9" s="7" t="inlineStr">
        <is>
          <t>ROB-01</t>
        </is>
      </c>
      <c r="D9" s="26" t="inlineStr">
        <is>
          <t>구동축</t>
        </is>
      </c>
      <c r="E9" s="7" t="inlineStr">
        <is>
          <t>야간</t>
        </is>
      </c>
      <c r="F9" s="8" t="n">
        <v>226</v>
      </c>
      <c r="G9" s="26" t="n">
        <v>17</v>
      </c>
      <c r="H9" s="26" t="n">
        <v>7.1</v>
      </c>
      <c r="I9" s="7" t="inlineStr">
        <is>
          <t>김현수</t>
        </is>
      </c>
    </row>
    <row r="10">
      <c r="A10" s="25" t="n">
        <v>46084</v>
      </c>
      <c r="B10" s="7" t="inlineStr">
        <is>
          <t>검사</t>
        </is>
      </c>
      <c r="C10" s="7" t="inlineStr">
        <is>
          <t>VIS-01</t>
        </is>
      </c>
      <c r="D10" s="26" t="inlineStr">
        <is>
          <t>밸브블록</t>
        </is>
      </c>
      <c r="E10" s="7" t="inlineStr">
        <is>
          <t>주간</t>
        </is>
      </c>
      <c r="F10" s="8" t="n">
        <v>603</v>
      </c>
      <c r="G10" s="26" t="n">
        <v>18</v>
      </c>
      <c r="H10" s="26" t="n">
        <v>6.7</v>
      </c>
      <c r="I10" s="7" t="inlineStr">
        <is>
          <t>박지훈</t>
        </is>
      </c>
    </row>
    <row r="11">
      <c r="A11" s="25" t="n">
        <v>46084</v>
      </c>
      <c r="B11" s="7" t="inlineStr">
        <is>
          <t>포장</t>
        </is>
      </c>
      <c r="C11" s="7" t="inlineStr">
        <is>
          <t>PKG-01</t>
        </is>
      </c>
      <c r="D11" s="26" t="inlineStr">
        <is>
          <t>밸브블록</t>
        </is>
      </c>
      <c r="E11" s="7" t="inlineStr">
        <is>
          <t>야간</t>
        </is>
      </c>
      <c r="F11" s="8" t="n">
        <v>294</v>
      </c>
      <c r="G11" s="26" t="n">
        <v>18</v>
      </c>
      <c r="H11" s="26" t="n">
        <v>7.9</v>
      </c>
      <c r="I11" s="7" t="inlineStr">
        <is>
          <t>이서연</t>
        </is>
      </c>
    </row>
    <row r="12">
      <c r="A12" s="25" t="n">
        <v>46085</v>
      </c>
      <c r="B12" s="7" t="inlineStr">
        <is>
          <t>가공</t>
        </is>
      </c>
      <c r="C12" s="7" t="inlineStr">
        <is>
          <t>CNC-01</t>
        </is>
      </c>
      <c r="D12" s="26" t="inlineStr">
        <is>
          <t>베어링유닛</t>
        </is>
      </c>
      <c r="E12" s="7" t="inlineStr">
        <is>
          <t>주간</t>
        </is>
      </c>
      <c r="F12" s="8" t="n">
        <v>475</v>
      </c>
      <c r="G12" s="26" t="n">
        <v>18</v>
      </c>
      <c r="H12" s="26" t="n">
        <v>7.1</v>
      </c>
      <c r="I12" s="7" t="inlineStr">
        <is>
          <t>최민재</t>
        </is>
      </c>
    </row>
    <row r="13">
      <c r="A13" s="25" t="n">
        <v>46085</v>
      </c>
      <c r="B13" s="7" t="inlineStr">
        <is>
          <t>조립</t>
        </is>
      </c>
      <c r="C13" s="7" t="inlineStr">
        <is>
          <t>ROB-01</t>
        </is>
      </c>
      <c r="D13" s="26" t="inlineStr">
        <is>
          <t>베어링유닛</t>
        </is>
      </c>
      <c r="E13" s="7" t="inlineStr">
        <is>
          <t>야간</t>
        </is>
      </c>
      <c r="F13" s="8" t="n">
        <v>293</v>
      </c>
      <c r="G13" s="26" t="n">
        <v>1</v>
      </c>
      <c r="H13" s="26" t="n">
        <v>7.3</v>
      </c>
      <c r="I13" s="7" t="inlineStr">
        <is>
          <t>정우진</t>
        </is>
      </c>
    </row>
    <row r="14">
      <c r="A14" s="25" t="n">
        <v>46085</v>
      </c>
      <c r="B14" s="7" t="inlineStr">
        <is>
          <t>검사</t>
        </is>
      </c>
      <c r="C14" s="7" t="inlineStr">
        <is>
          <t>VIS-01</t>
        </is>
      </c>
      <c r="D14" s="26" t="inlineStr">
        <is>
          <t>감속기어</t>
        </is>
      </c>
      <c r="E14" s="7" t="inlineStr">
        <is>
          <t>주간</t>
        </is>
      </c>
      <c r="F14" s="8" t="n">
        <v>248</v>
      </c>
      <c r="G14" s="26" t="n">
        <v>9</v>
      </c>
      <c r="H14" s="26" t="n">
        <v>7.1</v>
      </c>
      <c r="I14" s="7" t="inlineStr">
        <is>
          <t>김현수</t>
        </is>
      </c>
    </row>
    <row r="15">
      <c r="A15" s="25" t="n">
        <v>46085</v>
      </c>
      <c r="B15" s="7" t="inlineStr">
        <is>
          <t>포장</t>
        </is>
      </c>
      <c r="C15" s="7" t="inlineStr">
        <is>
          <t>PKG-01</t>
        </is>
      </c>
      <c r="D15" s="26" t="inlineStr">
        <is>
          <t>감속기어</t>
        </is>
      </c>
      <c r="E15" s="7" t="inlineStr">
        <is>
          <t>야간</t>
        </is>
      </c>
      <c r="F15" s="8" t="n">
        <v>456</v>
      </c>
      <c r="G15" s="26" t="n">
        <v>3</v>
      </c>
      <c r="H15" s="26" t="n">
        <v>7.4</v>
      </c>
      <c r="I15" s="7" t="inlineStr">
        <is>
          <t>박지훈</t>
        </is>
      </c>
    </row>
    <row r="16">
      <c r="A16" s="25" t="n">
        <v>46086</v>
      </c>
      <c r="B16" s="7" t="inlineStr">
        <is>
          <t>가공</t>
        </is>
      </c>
      <c r="C16" s="7" t="inlineStr">
        <is>
          <t>CNC-01</t>
        </is>
      </c>
      <c r="D16" s="26" t="inlineStr">
        <is>
          <t>구동축</t>
        </is>
      </c>
      <c r="E16" s="7" t="inlineStr">
        <is>
          <t>주간</t>
        </is>
      </c>
      <c r="F16" s="8" t="n">
        <v>466</v>
      </c>
      <c r="G16" s="26" t="n">
        <v>5</v>
      </c>
      <c r="H16" s="26" t="n">
        <v>6.7</v>
      </c>
      <c r="I16" s="7" t="inlineStr">
        <is>
          <t>이서연</t>
        </is>
      </c>
    </row>
    <row r="17">
      <c r="A17" s="25" t="n">
        <v>46086</v>
      </c>
      <c r="B17" s="7" t="inlineStr">
        <is>
          <t>조립</t>
        </is>
      </c>
      <c r="C17" s="7" t="inlineStr">
        <is>
          <t>ROB-01</t>
        </is>
      </c>
      <c r="D17" s="26" t="inlineStr">
        <is>
          <t>구동축</t>
        </is>
      </c>
      <c r="E17" s="7" t="inlineStr">
        <is>
          <t>야간</t>
        </is>
      </c>
      <c r="F17" s="8" t="n">
        <v>472</v>
      </c>
      <c r="G17" s="26" t="n">
        <v>6</v>
      </c>
      <c r="H17" s="26" t="n">
        <v>7.1</v>
      </c>
      <c r="I17" s="7" t="inlineStr">
        <is>
          <t>최민재</t>
        </is>
      </c>
    </row>
    <row r="18">
      <c r="A18" s="25" t="n">
        <v>46086</v>
      </c>
      <c r="B18" s="7" t="inlineStr">
        <is>
          <t>검사</t>
        </is>
      </c>
      <c r="C18" s="7" t="inlineStr">
        <is>
          <t>VIS-01</t>
        </is>
      </c>
      <c r="D18" s="26" t="inlineStr">
        <is>
          <t>밸브블록</t>
        </is>
      </c>
      <c r="E18" s="7" t="inlineStr">
        <is>
          <t>주간</t>
        </is>
      </c>
      <c r="F18" s="8" t="n">
        <v>460</v>
      </c>
      <c r="G18" s="26" t="n">
        <v>2</v>
      </c>
      <c r="H18" s="26" t="n">
        <v>7.3</v>
      </c>
      <c r="I18" s="7" t="inlineStr">
        <is>
          <t>정우진</t>
        </is>
      </c>
    </row>
    <row r="19">
      <c r="A19" s="25" t="n">
        <v>46086</v>
      </c>
      <c r="B19" s="7" t="inlineStr">
        <is>
          <t>포장</t>
        </is>
      </c>
      <c r="C19" s="7" t="inlineStr">
        <is>
          <t>PKG-01</t>
        </is>
      </c>
      <c r="D19" s="26" t="inlineStr">
        <is>
          <t>밸브블록</t>
        </is>
      </c>
      <c r="E19" s="7" t="inlineStr">
        <is>
          <t>야간</t>
        </is>
      </c>
      <c r="F19" s="8" t="n">
        <v>496</v>
      </c>
      <c r="G19" s="26" t="n">
        <v>6</v>
      </c>
      <c r="H19" s="26" t="n">
        <v>7.2</v>
      </c>
      <c r="I19" s="7" t="inlineStr">
        <is>
          <t>김현수</t>
        </is>
      </c>
    </row>
    <row r="20">
      <c r="A20" s="25" t="n">
        <v>46087</v>
      </c>
      <c r="B20" s="7" t="inlineStr">
        <is>
          <t>가공</t>
        </is>
      </c>
      <c r="C20" s="7" t="inlineStr">
        <is>
          <t>CNC-01</t>
        </is>
      </c>
      <c r="D20" s="26" t="inlineStr">
        <is>
          <t>베어링유닛</t>
        </is>
      </c>
      <c r="E20" s="7" t="inlineStr">
        <is>
          <t>주간</t>
        </is>
      </c>
      <c r="F20" s="8" t="n">
        <v>452</v>
      </c>
      <c r="G20" s="26" t="n">
        <v>13</v>
      </c>
      <c r="H20" s="26" t="n">
        <v>7.7</v>
      </c>
      <c r="I20" s="7" t="inlineStr">
        <is>
          <t>박지훈</t>
        </is>
      </c>
    </row>
    <row r="21">
      <c r="A21" s="25" t="n">
        <v>46087</v>
      </c>
      <c r="B21" s="7" t="inlineStr">
        <is>
          <t>조립</t>
        </is>
      </c>
      <c r="C21" s="7" t="inlineStr">
        <is>
          <t>ROB-01</t>
        </is>
      </c>
      <c r="D21" s="26" t="inlineStr">
        <is>
          <t>베어링유닛</t>
        </is>
      </c>
      <c r="E21" s="7" t="inlineStr">
        <is>
          <t>야간</t>
        </is>
      </c>
      <c r="F21" s="8" t="n">
        <v>418</v>
      </c>
      <c r="G21" s="26" t="n">
        <v>18</v>
      </c>
      <c r="H21" s="26" t="n">
        <v>7.9</v>
      </c>
      <c r="I21" s="7" t="inlineStr">
        <is>
          <t>이서연</t>
        </is>
      </c>
    </row>
    <row r="22">
      <c r="A22" s="25" t="n">
        <v>46087</v>
      </c>
      <c r="B22" s="7" t="inlineStr">
        <is>
          <t>검사</t>
        </is>
      </c>
      <c r="C22" s="7" t="inlineStr">
        <is>
          <t>VIS-01</t>
        </is>
      </c>
      <c r="D22" s="26" t="inlineStr">
        <is>
          <t>감속기어</t>
        </is>
      </c>
      <c r="E22" s="7" t="inlineStr">
        <is>
          <t>주간</t>
        </is>
      </c>
      <c r="F22" s="8" t="n">
        <v>365</v>
      </c>
      <c r="G22" s="26" t="n">
        <v>9</v>
      </c>
      <c r="H22" s="26" t="n">
        <v>6.9</v>
      </c>
      <c r="I22" s="7" t="inlineStr">
        <is>
          <t>최민재</t>
        </is>
      </c>
    </row>
    <row r="23">
      <c r="A23" s="25" t="n">
        <v>46087</v>
      </c>
      <c r="B23" s="7" t="inlineStr">
        <is>
          <t>포장</t>
        </is>
      </c>
      <c r="C23" s="7" t="inlineStr">
        <is>
          <t>PKG-01</t>
        </is>
      </c>
      <c r="D23" s="26" t="inlineStr">
        <is>
          <t>감속기어</t>
        </is>
      </c>
      <c r="E23" s="7" t="inlineStr">
        <is>
          <t>야간</t>
        </is>
      </c>
      <c r="F23" s="8" t="n">
        <v>272</v>
      </c>
      <c r="G23" s="26" t="n">
        <v>7</v>
      </c>
      <c r="H23" s="26" t="n">
        <v>6.6</v>
      </c>
      <c r="I23" s="7" t="inlineStr">
        <is>
          <t>정우진</t>
        </is>
      </c>
    </row>
    <row r="24">
      <c r="A24" s="25" t="n">
        <v>46088</v>
      </c>
      <c r="B24" s="7" t="inlineStr">
        <is>
          <t>가공</t>
        </is>
      </c>
      <c r="C24" s="7" t="inlineStr">
        <is>
          <t>CNC-01</t>
        </is>
      </c>
      <c r="D24" s="26" t="inlineStr">
        <is>
          <t>구동축</t>
        </is>
      </c>
      <c r="E24" s="7" t="inlineStr">
        <is>
          <t>주간</t>
        </is>
      </c>
      <c r="F24" s="8" t="n">
        <v>333</v>
      </c>
      <c r="G24" s="26" t="n">
        <v>16</v>
      </c>
      <c r="H24" s="26" t="n">
        <v>7.2</v>
      </c>
      <c r="I24" s="7" t="inlineStr">
        <is>
          <t>김현수</t>
        </is>
      </c>
    </row>
    <row r="25">
      <c r="A25" s="25" t="n">
        <v>46088</v>
      </c>
      <c r="B25" s="7" t="inlineStr">
        <is>
          <t>조립</t>
        </is>
      </c>
      <c r="C25" s="7" t="inlineStr">
        <is>
          <t>ROB-01</t>
        </is>
      </c>
      <c r="D25" s="26" t="inlineStr">
        <is>
          <t>구동축</t>
        </is>
      </c>
      <c r="E25" s="7" t="inlineStr">
        <is>
          <t>야간</t>
        </is>
      </c>
      <c r="F25" s="8" t="n">
        <v>355</v>
      </c>
      <c r="G25" s="26" t="n">
        <v>14</v>
      </c>
      <c r="H25" s="26" t="n">
        <v>6.9</v>
      </c>
      <c r="I25" s="7" t="inlineStr">
        <is>
          <t>박지훈</t>
        </is>
      </c>
    </row>
    <row r="26">
      <c r="A26" s="25" t="n">
        <v>46088</v>
      </c>
      <c r="B26" s="7" t="inlineStr">
        <is>
          <t>검사</t>
        </is>
      </c>
      <c r="C26" s="7" t="inlineStr">
        <is>
          <t>VIS-01</t>
        </is>
      </c>
      <c r="D26" s="26" t="inlineStr">
        <is>
          <t>밸브블록</t>
        </is>
      </c>
      <c r="E26" s="7" t="inlineStr">
        <is>
          <t>주간</t>
        </is>
      </c>
      <c r="F26" s="8" t="n">
        <v>217</v>
      </c>
      <c r="G26" s="26" t="n">
        <v>3</v>
      </c>
      <c r="H26" s="26" t="n">
        <v>7.3</v>
      </c>
      <c r="I26" s="7" t="inlineStr">
        <is>
          <t>이서연</t>
        </is>
      </c>
    </row>
    <row r="27">
      <c r="A27" s="25" t="n">
        <v>46088</v>
      </c>
      <c r="B27" s="7" t="inlineStr">
        <is>
          <t>포장</t>
        </is>
      </c>
      <c r="C27" s="7" t="inlineStr">
        <is>
          <t>PKG-01</t>
        </is>
      </c>
      <c r="D27" s="26" t="inlineStr">
        <is>
          <t>밸브블록</t>
        </is>
      </c>
      <c r="E27" s="7" t="inlineStr">
        <is>
          <t>야간</t>
        </is>
      </c>
      <c r="F27" s="8" t="n">
        <v>264</v>
      </c>
      <c r="G27" s="26" t="n">
        <v>10</v>
      </c>
      <c r="H27" s="26" t="n">
        <v>6.7</v>
      </c>
      <c r="I27" s="7" t="inlineStr">
        <is>
          <t>최민재</t>
        </is>
      </c>
    </row>
    <row r="28">
      <c r="A28" s="25" t="n">
        <v>46089</v>
      </c>
      <c r="B28" s="7" t="inlineStr">
        <is>
          <t>가공</t>
        </is>
      </c>
      <c r="C28" s="7" t="inlineStr">
        <is>
          <t>CNC-01</t>
        </is>
      </c>
      <c r="D28" s="26" t="inlineStr">
        <is>
          <t>베어링유닛</t>
        </is>
      </c>
      <c r="E28" s="7" t="inlineStr">
        <is>
          <t>주간</t>
        </is>
      </c>
      <c r="F28" s="8" t="n">
        <v>430</v>
      </c>
      <c r="G28" s="26" t="n">
        <v>13</v>
      </c>
      <c r="H28" s="26" t="n">
        <v>6.6</v>
      </c>
      <c r="I28" s="7" t="inlineStr">
        <is>
          <t>정우진</t>
        </is>
      </c>
    </row>
    <row r="29">
      <c r="A29" s="25" t="n">
        <v>46089</v>
      </c>
      <c r="B29" s="7" t="inlineStr">
        <is>
          <t>조립</t>
        </is>
      </c>
      <c r="C29" s="7" t="inlineStr">
        <is>
          <t>ROB-01</t>
        </is>
      </c>
      <c r="D29" s="26" t="inlineStr">
        <is>
          <t>베어링유닛</t>
        </is>
      </c>
      <c r="E29" s="7" t="inlineStr">
        <is>
          <t>야간</t>
        </is>
      </c>
      <c r="F29" s="8" t="n">
        <v>522</v>
      </c>
      <c r="G29" s="26" t="n">
        <v>2</v>
      </c>
      <c r="H29" s="26" t="n">
        <v>7.6</v>
      </c>
      <c r="I29" s="7" t="inlineStr">
        <is>
          <t>김현수</t>
        </is>
      </c>
    </row>
    <row r="30">
      <c r="A30" s="25" t="n">
        <v>46089</v>
      </c>
      <c r="B30" s="7" t="inlineStr">
        <is>
          <t>검사</t>
        </is>
      </c>
      <c r="C30" s="7" t="inlineStr">
        <is>
          <t>VIS-01</t>
        </is>
      </c>
      <c r="D30" s="26" t="inlineStr">
        <is>
          <t>감속기어</t>
        </is>
      </c>
      <c r="E30" s="7" t="inlineStr">
        <is>
          <t>주간</t>
        </is>
      </c>
      <c r="F30" s="8" t="n">
        <v>473</v>
      </c>
      <c r="G30" s="26" t="n">
        <v>10</v>
      </c>
      <c r="H30" s="26" t="n">
        <v>7</v>
      </c>
      <c r="I30" s="7" t="inlineStr">
        <is>
          <t>박지훈</t>
        </is>
      </c>
    </row>
    <row r="31">
      <c r="A31" s="25" t="n">
        <v>46089</v>
      </c>
      <c r="B31" s="7" t="inlineStr">
        <is>
          <t>포장</t>
        </is>
      </c>
      <c r="C31" s="7" t="inlineStr">
        <is>
          <t>PKG-01</t>
        </is>
      </c>
      <c r="D31" s="26" t="inlineStr">
        <is>
          <t>감속기어</t>
        </is>
      </c>
      <c r="E31" s="7" t="inlineStr">
        <is>
          <t>야간</t>
        </is>
      </c>
      <c r="F31" s="8" t="n">
        <v>359</v>
      </c>
      <c r="G31" s="26" t="n">
        <v>15</v>
      </c>
      <c r="H31" s="26" t="n">
        <v>7.4</v>
      </c>
      <c r="I31" s="7" t="inlineStr">
        <is>
          <t>이서연</t>
        </is>
      </c>
    </row>
    <row r="32">
      <c r="A32" s="25" t="n">
        <v>46090</v>
      </c>
      <c r="B32" s="7" t="inlineStr">
        <is>
          <t>가공</t>
        </is>
      </c>
      <c r="C32" s="7" t="inlineStr">
        <is>
          <t>CNC-01</t>
        </is>
      </c>
      <c r="D32" s="26" t="inlineStr">
        <is>
          <t>구동축</t>
        </is>
      </c>
      <c r="E32" s="7" t="inlineStr">
        <is>
          <t>주간</t>
        </is>
      </c>
      <c r="F32" s="8" t="n">
        <v>413</v>
      </c>
      <c r="G32" s="26" t="n">
        <v>2</v>
      </c>
      <c r="H32" s="26" t="n">
        <v>7.8</v>
      </c>
      <c r="I32" s="7" t="inlineStr">
        <is>
          <t>최민재</t>
        </is>
      </c>
    </row>
    <row r="33">
      <c r="A33" s="25" t="n">
        <v>46090</v>
      </c>
      <c r="B33" s="7" t="inlineStr">
        <is>
          <t>조립</t>
        </is>
      </c>
      <c r="C33" s="7" t="inlineStr">
        <is>
          <t>ROB-01</t>
        </is>
      </c>
      <c r="D33" s="26" t="inlineStr">
        <is>
          <t>구동축</t>
        </is>
      </c>
      <c r="E33" s="7" t="inlineStr">
        <is>
          <t>야간</t>
        </is>
      </c>
      <c r="F33" s="8" t="n">
        <v>318</v>
      </c>
      <c r="G33" s="26" t="n">
        <v>15</v>
      </c>
      <c r="H33" s="26" t="n">
        <v>7.5</v>
      </c>
      <c r="I33" s="7" t="inlineStr">
        <is>
          <t>정우진</t>
        </is>
      </c>
    </row>
    <row r="34">
      <c r="A34" s="25" t="n">
        <v>46090</v>
      </c>
      <c r="B34" s="7" t="inlineStr">
        <is>
          <t>검사</t>
        </is>
      </c>
      <c r="C34" s="7" t="inlineStr">
        <is>
          <t>VIS-01</t>
        </is>
      </c>
      <c r="D34" s="26" t="inlineStr">
        <is>
          <t>밸브블록</t>
        </is>
      </c>
      <c r="E34" s="7" t="inlineStr">
        <is>
          <t>주간</t>
        </is>
      </c>
      <c r="F34" s="8" t="n">
        <v>213</v>
      </c>
      <c r="G34" s="26" t="n">
        <v>1</v>
      </c>
      <c r="H34" s="26" t="n">
        <v>7.6</v>
      </c>
      <c r="I34" s="7" t="inlineStr">
        <is>
          <t>김현수</t>
        </is>
      </c>
    </row>
    <row r="35">
      <c r="A35" s="25" t="n">
        <v>46090</v>
      </c>
      <c r="B35" s="7" t="inlineStr">
        <is>
          <t>포장</t>
        </is>
      </c>
      <c r="C35" s="7" t="inlineStr">
        <is>
          <t>PKG-01</t>
        </is>
      </c>
      <c r="D35" s="26" t="inlineStr">
        <is>
          <t>밸브블록</t>
        </is>
      </c>
      <c r="E35" s="7" t="inlineStr">
        <is>
          <t>야간</t>
        </is>
      </c>
      <c r="F35" s="8" t="n">
        <v>338</v>
      </c>
      <c r="G35" s="26" t="n">
        <v>18</v>
      </c>
      <c r="H35" s="26" t="n">
        <v>8</v>
      </c>
      <c r="I35" s="7" t="inlineStr">
        <is>
          <t>박지훈</t>
        </is>
      </c>
    </row>
    <row r="36">
      <c r="A36" s="25" t="n">
        <v>46091</v>
      </c>
      <c r="B36" s="7" t="inlineStr">
        <is>
          <t>가공</t>
        </is>
      </c>
      <c r="C36" s="7" t="inlineStr">
        <is>
          <t>CNC-01</t>
        </is>
      </c>
      <c r="D36" s="26" t="inlineStr">
        <is>
          <t>베어링유닛</t>
        </is>
      </c>
      <c r="E36" s="7" t="inlineStr">
        <is>
          <t>주간</t>
        </is>
      </c>
      <c r="F36" s="8" t="n">
        <v>600</v>
      </c>
      <c r="G36" s="26" t="n">
        <v>14</v>
      </c>
      <c r="H36" s="26" t="n">
        <v>6.9</v>
      </c>
      <c r="I36" s="7" t="inlineStr">
        <is>
          <t>이서연</t>
        </is>
      </c>
    </row>
    <row r="37">
      <c r="A37" s="25" t="n">
        <v>46091</v>
      </c>
      <c r="B37" s="7" t="inlineStr">
        <is>
          <t>조립</t>
        </is>
      </c>
      <c r="C37" s="7" t="inlineStr">
        <is>
          <t>ROB-01</t>
        </is>
      </c>
      <c r="D37" s="26" t="inlineStr">
        <is>
          <t>베어링유닛</t>
        </is>
      </c>
      <c r="E37" s="7" t="inlineStr">
        <is>
          <t>야간</t>
        </is>
      </c>
      <c r="F37" s="8" t="n">
        <v>377</v>
      </c>
      <c r="G37" s="26" t="n">
        <v>11</v>
      </c>
      <c r="H37" s="26" t="n">
        <v>6.5</v>
      </c>
      <c r="I37" s="7" t="inlineStr">
        <is>
          <t>최민재</t>
        </is>
      </c>
    </row>
    <row r="38">
      <c r="A38" s="25" t="n">
        <v>46091</v>
      </c>
      <c r="B38" s="7" t="inlineStr">
        <is>
          <t>검사</t>
        </is>
      </c>
      <c r="C38" s="7" t="inlineStr">
        <is>
          <t>VIS-01</t>
        </is>
      </c>
      <c r="D38" s="26" t="inlineStr">
        <is>
          <t>감속기어</t>
        </is>
      </c>
      <c r="E38" s="7" t="inlineStr">
        <is>
          <t>주간</t>
        </is>
      </c>
      <c r="F38" s="8" t="n">
        <v>416</v>
      </c>
      <c r="G38" s="26" t="n">
        <v>11</v>
      </c>
      <c r="H38" s="26" t="n">
        <v>6.8</v>
      </c>
      <c r="I38" s="7" t="inlineStr">
        <is>
          <t>정우진</t>
        </is>
      </c>
    </row>
    <row r="39">
      <c r="A39" s="25" t="n">
        <v>46091</v>
      </c>
      <c r="B39" s="7" t="inlineStr">
        <is>
          <t>포장</t>
        </is>
      </c>
      <c r="C39" s="7" t="inlineStr">
        <is>
          <t>PKG-01</t>
        </is>
      </c>
      <c r="D39" s="26" t="inlineStr">
        <is>
          <t>감속기어</t>
        </is>
      </c>
      <c r="E39" s="7" t="inlineStr">
        <is>
          <t>야간</t>
        </is>
      </c>
      <c r="F39" s="8" t="n">
        <v>239</v>
      </c>
      <c r="G39" s="26" t="n">
        <v>15</v>
      </c>
      <c r="H39" s="26" t="n">
        <v>6.6</v>
      </c>
      <c r="I39" s="7" t="inlineStr">
        <is>
          <t>김현수</t>
        </is>
      </c>
    </row>
    <row r="40">
      <c r="A40" s="25" t="n">
        <v>46092</v>
      </c>
      <c r="B40" s="7" t="inlineStr">
        <is>
          <t>가공</t>
        </is>
      </c>
      <c r="C40" s="7" t="inlineStr">
        <is>
          <t>CNC-01</t>
        </is>
      </c>
      <c r="D40" s="26" t="inlineStr">
        <is>
          <t>구동축</t>
        </is>
      </c>
      <c r="E40" s="7" t="inlineStr">
        <is>
          <t>주간</t>
        </is>
      </c>
      <c r="F40" s="8" t="n">
        <v>573</v>
      </c>
      <c r="G40" s="26" t="n">
        <v>9</v>
      </c>
      <c r="H40" s="26" t="n">
        <v>6.7</v>
      </c>
      <c r="I40" s="7" t="inlineStr">
        <is>
          <t>박지훈</t>
        </is>
      </c>
    </row>
    <row r="41">
      <c r="A41" s="25" t="n">
        <v>46092</v>
      </c>
      <c r="B41" s="7" t="inlineStr">
        <is>
          <t>조립</t>
        </is>
      </c>
      <c r="C41" s="7" t="inlineStr">
        <is>
          <t>ROB-01</t>
        </is>
      </c>
      <c r="D41" s="26" t="inlineStr">
        <is>
          <t>구동축</t>
        </is>
      </c>
      <c r="E41" s="7" t="inlineStr">
        <is>
          <t>야간</t>
        </is>
      </c>
      <c r="F41" s="8" t="n">
        <v>306</v>
      </c>
      <c r="G41" s="26" t="n">
        <v>12</v>
      </c>
      <c r="H41" s="26" t="n">
        <v>7.1</v>
      </c>
      <c r="I41" s="7" t="inlineStr">
        <is>
          <t>이서연</t>
        </is>
      </c>
    </row>
    <row r="42">
      <c r="A42" s="25" t="n">
        <v>46092</v>
      </c>
      <c r="B42" s="7" t="inlineStr">
        <is>
          <t>검사</t>
        </is>
      </c>
      <c r="C42" s="7" t="inlineStr">
        <is>
          <t>VIS-01</t>
        </is>
      </c>
      <c r="D42" s="26" t="inlineStr">
        <is>
          <t>밸브블록</t>
        </is>
      </c>
      <c r="E42" s="7" t="inlineStr">
        <is>
          <t>주간</t>
        </is>
      </c>
      <c r="F42" s="8" t="n">
        <v>434</v>
      </c>
      <c r="G42" s="26" t="n">
        <v>2</v>
      </c>
      <c r="H42" s="26" t="n">
        <v>6.7</v>
      </c>
      <c r="I42" s="7" t="inlineStr">
        <is>
          <t>최민재</t>
        </is>
      </c>
    </row>
    <row r="43">
      <c r="A43" s="25" t="n">
        <v>46092</v>
      </c>
      <c r="B43" s="7" t="inlineStr">
        <is>
          <t>포장</t>
        </is>
      </c>
      <c r="C43" s="7" t="inlineStr">
        <is>
          <t>PKG-01</t>
        </is>
      </c>
      <c r="D43" s="26" t="inlineStr">
        <is>
          <t>밸브블록</t>
        </is>
      </c>
      <c r="E43" s="7" t="inlineStr">
        <is>
          <t>야간</t>
        </is>
      </c>
      <c r="F43" s="8" t="n">
        <v>385</v>
      </c>
      <c r="G43" s="26" t="n">
        <v>17</v>
      </c>
      <c r="H43" s="26" t="n">
        <v>6.9</v>
      </c>
      <c r="I43" s="7" t="inlineStr">
        <is>
          <t>정우진</t>
        </is>
      </c>
    </row>
    <row r="44">
      <c r="A44" s="25" t="n">
        <v>46093</v>
      </c>
      <c r="B44" s="7" t="inlineStr">
        <is>
          <t>가공</t>
        </is>
      </c>
      <c r="C44" s="7" t="inlineStr">
        <is>
          <t>CNC-01</t>
        </is>
      </c>
      <c r="D44" s="26" t="inlineStr">
        <is>
          <t>베어링유닛</t>
        </is>
      </c>
      <c r="E44" s="7" t="inlineStr">
        <is>
          <t>주간</t>
        </is>
      </c>
      <c r="F44" s="8" t="n">
        <v>250</v>
      </c>
      <c r="G44" s="26" t="n">
        <v>13</v>
      </c>
      <c r="H44" s="26" t="n">
        <v>7.8</v>
      </c>
      <c r="I44" s="7" t="inlineStr">
        <is>
          <t>김현수</t>
        </is>
      </c>
    </row>
    <row r="45">
      <c r="A45" s="25" t="n">
        <v>46093</v>
      </c>
      <c r="B45" s="7" t="inlineStr">
        <is>
          <t>조립</t>
        </is>
      </c>
      <c r="C45" s="7" t="inlineStr">
        <is>
          <t>ROB-01</t>
        </is>
      </c>
      <c r="D45" s="26" t="inlineStr">
        <is>
          <t>베어링유닛</t>
        </is>
      </c>
      <c r="E45" s="7" t="inlineStr">
        <is>
          <t>야간</t>
        </is>
      </c>
      <c r="F45" s="8" t="n">
        <v>322</v>
      </c>
      <c r="G45" s="26" t="n">
        <v>13</v>
      </c>
      <c r="H45" s="26" t="n">
        <v>8</v>
      </c>
      <c r="I45" s="7" t="inlineStr">
        <is>
          <t>박지훈</t>
        </is>
      </c>
    </row>
    <row r="46">
      <c r="A46" s="25" t="n">
        <v>46093</v>
      </c>
      <c r="B46" s="7" t="inlineStr">
        <is>
          <t>검사</t>
        </is>
      </c>
      <c r="C46" s="7" t="inlineStr">
        <is>
          <t>VIS-01</t>
        </is>
      </c>
      <c r="D46" s="26" t="inlineStr">
        <is>
          <t>감속기어</t>
        </is>
      </c>
      <c r="E46" s="7" t="inlineStr">
        <is>
          <t>주간</t>
        </is>
      </c>
      <c r="F46" s="8" t="n">
        <v>529</v>
      </c>
      <c r="G46" s="26" t="n">
        <v>12</v>
      </c>
      <c r="H46" s="26" t="n">
        <v>7.9</v>
      </c>
      <c r="I46" s="7" t="inlineStr">
        <is>
          <t>이서연</t>
        </is>
      </c>
    </row>
    <row r="47">
      <c r="A47" s="25" t="n">
        <v>46093</v>
      </c>
      <c r="B47" s="7" t="inlineStr">
        <is>
          <t>포장</t>
        </is>
      </c>
      <c r="C47" s="7" t="inlineStr">
        <is>
          <t>PKG-01</t>
        </is>
      </c>
      <c r="D47" s="26" t="inlineStr">
        <is>
          <t>감속기어</t>
        </is>
      </c>
      <c r="E47" s="7" t="inlineStr">
        <is>
          <t>야간</t>
        </is>
      </c>
      <c r="F47" s="8" t="n">
        <v>257</v>
      </c>
      <c r="G47" s="26" t="n">
        <v>2</v>
      </c>
      <c r="H47" s="26" t="n">
        <v>6.8</v>
      </c>
      <c r="I47" s="7" t="inlineStr">
        <is>
          <t>최민재</t>
        </is>
      </c>
    </row>
    <row r="48">
      <c r="A48" s="25" t="n">
        <v>46094</v>
      </c>
      <c r="B48" s="7" t="inlineStr">
        <is>
          <t>가공</t>
        </is>
      </c>
      <c r="C48" s="7" t="inlineStr">
        <is>
          <t>CNC-01</t>
        </is>
      </c>
      <c r="D48" s="26" t="inlineStr">
        <is>
          <t>구동축</t>
        </is>
      </c>
      <c r="E48" s="7" t="inlineStr">
        <is>
          <t>주간</t>
        </is>
      </c>
      <c r="F48" s="8" t="n">
        <v>298</v>
      </c>
      <c r="G48" s="26" t="n">
        <v>7</v>
      </c>
      <c r="H48" s="26" t="n">
        <v>6.5</v>
      </c>
      <c r="I48" s="7" t="inlineStr">
        <is>
          <t>정우진</t>
        </is>
      </c>
    </row>
    <row r="49">
      <c r="A49" s="25" t="n">
        <v>46094</v>
      </c>
      <c r="B49" s="7" t="inlineStr">
        <is>
          <t>조립</t>
        </is>
      </c>
      <c r="C49" s="7" t="inlineStr">
        <is>
          <t>ROB-01</t>
        </is>
      </c>
      <c r="D49" s="26" t="inlineStr">
        <is>
          <t>구동축</t>
        </is>
      </c>
      <c r="E49" s="7" t="inlineStr">
        <is>
          <t>야간</t>
        </is>
      </c>
      <c r="F49" s="8" t="n">
        <v>605</v>
      </c>
      <c r="G49" s="26" t="n">
        <v>18</v>
      </c>
      <c r="H49" s="26" t="n">
        <v>6.8</v>
      </c>
      <c r="I49" s="7" t="inlineStr">
        <is>
          <t>김현수</t>
        </is>
      </c>
    </row>
    <row r="50">
      <c r="A50" s="25" t="n">
        <v>46094</v>
      </c>
      <c r="B50" s="7" t="inlineStr">
        <is>
          <t>검사</t>
        </is>
      </c>
      <c r="C50" s="7" t="inlineStr">
        <is>
          <t>VIS-01</t>
        </is>
      </c>
      <c r="D50" s="26" t="inlineStr">
        <is>
          <t>밸브블록</t>
        </is>
      </c>
      <c r="E50" s="7" t="inlineStr">
        <is>
          <t>주간</t>
        </is>
      </c>
      <c r="F50" s="8" t="n">
        <v>324</v>
      </c>
      <c r="G50" s="26" t="n">
        <v>0</v>
      </c>
      <c r="H50" s="26" t="n">
        <v>6.7</v>
      </c>
      <c r="I50" s="7" t="inlineStr">
        <is>
          <t>박지훈</t>
        </is>
      </c>
    </row>
    <row r="51">
      <c r="A51" s="25" t="n">
        <v>46094</v>
      </c>
      <c r="B51" s="7" t="inlineStr">
        <is>
          <t>포장</t>
        </is>
      </c>
      <c r="C51" s="7" t="inlineStr">
        <is>
          <t>PKG-01</t>
        </is>
      </c>
      <c r="D51" s="26" t="inlineStr">
        <is>
          <t>밸브블록</t>
        </is>
      </c>
      <c r="E51" s="7" t="inlineStr">
        <is>
          <t>야간</t>
        </is>
      </c>
      <c r="F51" s="8" t="n">
        <v>453</v>
      </c>
      <c r="G51" s="26" t="n">
        <v>11</v>
      </c>
      <c r="H51" s="26" t="n">
        <v>7.4</v>
      </c>
      <c r="I51" s="7" t="inlineStr">
        <is>
          <t>이서연</t>
        </is>
      </c>
    </row>
    <row r="52">
      <c r="A52" s="25" t="n">
        <v>46095</v>
      </c>
      <c r="B52" s="7" t="inlineStr">
        <is>
          <t>가공</t>
        </is>
      </c>
      <c r="C52" s="7" t="inlineStr">
        <is>
          <t>CNC-01</t>
        </is>
      </c>
      <c r="D52" s="26" t="inlineStr">
        <is>
          <t>베어링유닛</t>
        </is>
      </c>
      <c r="E52" s="7" t="inlineStr">
        <is>
          <t>주간</t>
        </is>
      </c>
      <c r="F52" s="8" t="n">
        <v>343</v>
      </c>
      <c r="G52" s="26" t="n">
        <v>4</v>
      </c>
      <c r="H52" s="26" t="n">
        <v>7.5</v>
      </c>
      <c r="I52" s="7" t="inlineStr">
        <is>
          <t>최민재</t>
        </is>
      </c>
    </row>
    <row r="53">
      <c r="A53" s="25" t="n">
        <v>46095</v>
      </c>
      <c r="B53" s="7" t="inlineStr">
        <is>
          <t>조립</t>
        </is>
      </c>
      <c r="C53" s="7" t="inlineStr">
        <is>
          <t>ROB-01</t>
        </is>
      </c>
      <c r="D53" s="26" t="inlineStr">
        <is>
          <t>베어링유닛</t>
        </is>
      </c>
      <c r="E53" s="7" t="inlineStr">
        <is>
          <t>야간</t>
        </is>
      </c>
      <c r="F53" s="8" t="n">
        <v>443</v>
      </c>
      <c r="G53" s="26" t="n">
        <v>1</v>
      </c>
      <c r="H53" s="26" t="n">
        <v>7.2</v>
      </c>
      <c r="I53" s="7" t="inlineStr">
        <is>
          <t>정우진</t>
        </is>
      </c>
    </row>
    <row r="54">
      <c r="A54" s="25" t="n">
        <v>46095</v>
      </c>
      <c r="B54" s="7" t="inlineStr">
        <is>
          <t>검사</t>
        </is>
      </c>
      <c r="C54" s="7" t="inlineStr">
        <is>
          <t>VIS-01</t>
        </is>
      </c>
      <c r="D54" s="26" t="inlineStr">
        <is>
          <t>감속기어</t>
        </is>
      </c>
      <c r="E54" s="7" t="inlineStr">
        <is>
          <t>주간</t>
        </is>
      </c>
      <c r="F54" s="8" t="n">
        <v>579</v>
      </c>
      <c r="G54" s="26" t="n">
        <v>17</v>
      </c>
      <c r="H54" s="26" t="n">
        <v>7.1</v>
      </c>
      <c r="I54" s="7" t="inlineStr">
        <is>
          <t>김현수</t>
        </is>
      </c>
    </row>
    <row r="55">
      <c r="A55" s="25" t="n">
        <v>46095</v>
      </c>
      <c r="B55" s="7" t="inlineStr">
        <is>
          <t>포장</t>
        </is>
      </c>
      <c r="C55" s="7" t="inlineStr">
        <is>
          <t>PKG-01</t>
        </is>
      </c>
      <c r="D55" s="26" t="inlineStr">
        <is>
          <t>감속기어</t>
        </is>
      </c>
      <c r="E55" s="7" t="inlineStr">
        <is>
          <t>야간</t>
        </is>
      </c>
      <c r="F55" s="8" t="n">
        <v>384</v>
      </c>
      <c r="G55" s="26" t="n">
        <v>12</v>
      </c>
      <c r="H55" s="26" t="n">
        <v>6.7</v>
      </c>
      <c r="I55" s="7" t="inlineStr">
        <is>
          <t>박지훈</t>
        </is>
      </c>
    </row>
    <row r="56">
      <c r="A56" s="25" t="n">
        <v>46096</v>
      </c>
      <c r="B56" s="7" t="inlineStr">
        <is>
          <t>가공</t>
        </is>
      </c>
      <c r="C56" s="7" t="inlineStr">
        <is>
          <t>CNC-01</t>
        </is>
      </c>
      <c r="D56" s="26" t="inlineStr">
        <is>
          <t>구동축</t>
        </is>
      </c>
      <c r="E56" s="7" t="inlineStr">
        <is>
          <t>주간</t>
        </is>
      </c>
      <c r="F56" s="8" t="n">
        <v>504</v>
      </c>
      <c r="G56" s="26" t="n">
        <v>12</v>
      </c>
      <c r="H56" s="26" t="n">
        <v>6.6</v>
      </c>
      <c r="I56" s="7" t="inlineStr">
        <is>
          <t>이서연</t>
        </is>
      </c>
    </row>
    <row r="57">
      <c r="A57" s="25" t="n">
        <v>46096</v>
      </c>
      <c r="B57" s="7" t="inlineStr">
        <is>
          <t>조립</t>
        </is>
      </c>
      <c r="C57" s="7" t="inlineStr">
        <is>
          <t>ROB-01</t>
        </is>
      </c>
      <c r="D57" s="26" t="inlineStr">
        <is>
          <t>구동축</t>
        </is>
      </c>
      <c r="E57" s="7" t="inlineStr">
        <is>
          <t>야간</t>
        </is>
      </c>
      <c r="F57" s="8" t="n">
        <v>214</v>
      </c>
      <c r="G57" s="26" t="n">
        <v>6</v>
      </c>
      <c r="H57" s="26" t="n">
        <v>7.2</v>
      </c>
      <c r="I57" s="7" t="inlineStr">
        <is>
          <t>최민재</t>
        </is>
      </c>
    </row>
    <row r="58">
      <c r="A58" s="25" t="n">
        <v>46096</v>
      </c>
      <c r="B58" s="7" t="inlineStr">
        <is>
          <t>검사</t>
        </is>
      </c>
      <c r="C58" s="7" t="inlineStr">
        <is>
          <t>VIS-01</t>
        </is>
      </c>
      <c r="D58" s="26" t="inlineStr">
        <is>
          <t>밸브블록</t>
        </is>
      </c>
      <c r="E58" s="7" t="inlineStr">
        <is>
          <t>주간</t>
        </is>
      </c>
      <c r="F58" s="8" t="n">
        <v>236</v>
      </c>
      <c r="G58" s="26" t="n">
        <v>10</v>
      </c>
      <c r="H58" s="26" t="n">
        <v>7.4</v>
      </c>
      <c r="I58" s="7" t="inlineStr">
        <is>
          <t>정우진</t>
        </is>
      </c>
    </row>
    <row r="59">
      <c r="A59" s="25" t="n">
        <v>46096</v>
      </c>
      <c r="B59" s="7" t="inlineStr">
        <is>
          <t>포장</t>
        </is>
      </c>
      <c r="C59" s="7" t="inlineStr">
        <is>
          <t>PKG-01</t>
        </is>
      </c>
      <c r="D59" s="26" t="inlineStr">
        <is>
          <t>밸브블록</t>
        </is>
      </c>
      <c r="E59" s="7" t="inlineStr">
        <is>
          <t>야간</t>
        </is>
      </c>
      <c r="F59" s="8" t="n">
        <v>232</v>
      </c>
      <c r="G59" s="26" t="n">
        <v>0</v>
      </c>
      <c r="H59" s="26" t="n">
        <v>7.4</v>
      </c>
      <c r="I59" s="7" t="inlineStr">
        <is>
          <t>김현수</t>
        </is>
      </c>
    </row>
    <row r="60">
      <c r="A60" s="25" t="n">
        <v>46097</v>
      </c>
      <c r="B60" s="7" t="inlineStr">
        <is>
          <t>가공</t>
        </is>
      </c>
      <c r="C60" s="7" t="inlineStr">
        <is>
          <t>CNC-01</t>
        </is>
      </c>
      <c r="D60" s="26" t="inlineStr">
        <is>
          <t>베어링유닛</t>
        </is>
      </c>
      <c r="E60" s="7" t="inlineStr">
        <is>
          <t>주간</t>
        </is>
      </c>
      <c r="F60" s="8" t="n">
        <v>454</v>
      </c>
      <c r="G60" s="26" t="n">
        <v>3</v>
      </c>
      <c r="H60" s="26" t="n">
        <v>7.9</v>
      </c>
      <c r="I60" s="7" t="inlineStr">
        <is>
          <t>박지훈</t>
        </is>
      </c>
    </row>
    <row r="61">
      <c r="A61" s="25" t="n">
        <v>46097</v>
      </c>
      <c r="B61" s="7" t="inlineStr">
        <is>
          <t>조립</t>
        </is>
      </c>
      <c r="C61" s="7" t="inlineStr">
        <is>
          <t>ROB-01</t>
        </is>
      </c>
      <c r="D61" s="26" t="inlineStr">
        <is>
          <t>베어링유닛</t>
        </is>
      </c>
      <c r="E61" s="7" t="inlineStr">
        <is>
          <t>야간</t>
        </is>
      </c>
      <c r="F61" s="8" t="n">
        <v>494</v>
      </c>
      <c r="G61" s="26" t="n">
        <v>0</v>
      </c>
      <c r="H61" s="26" t="n">
        <v>6.6</v>
      </c>
      <c r="I61" s="7" t="inlineStr">
        <is>
          <t>이서연</t>
        </is>
      </c>
    </row>
    <row r="62">
      <c r="A62" s="25" t="n">
        <v>46097</v>
      </c>
      <c r="B62" s="7" t="inlineStr">
        <is>
          <t>검사</t>
        </is>
      </c>
      <c r="C62" s="7" t="inlineStr">
        <is>
          <t>VIS-01</t>
        </is>
      </c>
      <c r="D62" s="26" t="inlineStr">
        <is>
          <t>감속기어</t>
        </is>
      </c>
      <c r="E62" s="7" t="inlineStr">
        <is>
          <t>주간</t>
        </is>
      </c>
      <c r="F62" s="8" t="n">
        <v>286</v>
      </c>
      <c r="G62" s="26" t="n">
        <v>12</v>
      </c>
      <c r="H62" s="26" t="n">
        <v>6.7</v>
      </c>
      <c r="I62" s="7" t="inlineStr">
        <is>
          <t>최민재</t>
        </is>
      </c>
    </row>
    <row r="63">
      <c r="A63" s="25" t="n">
        <v>46097</v>
      </c>
      <c r="B63" s="7" t="inlineStr">
        <is>
          <t>포장</t>
        </is>
      </c>
      <c r="C63" s="7" t="inlineStr">
        <is>
          <t>PKG-01</t>
        </is>
      </c>
      <c r="D63" s="26" t="inlineStr">
        <is>
          <t>감속기어</t>
        </is>
      </c>
      <c r="E63" s="7" t="inlineStr">
        <is>
          <t>야간</t>
        </is>
      </c>
      <c r="F63" s="8" t="n">
        <v>309</v>
      </c>
      <c r="G63" s="26" t="n">
        <v>11</v>
      </c>
      <c r="H63" s="26" t="n">
        <v>7.4</v>
      </c>
      <c r="I63" s="7" t="inlineStr">
        <is>
          <t>정우진</t>
        </is>
      </c>
    </row>
    <row r="64">
      <c r="A64" s="25" t="n">
        <v>46098</v>
      </c>
      <c r="B64" s="7" t="inlineStr">
        <is>
          <t>가공</t>
        </is>
      </c>
      <c r="C64" s="7" t="inlineStr">
        <is>
          <t>CNC-01</t>
        </is>
      </c>
      <c r="D64" s="26" t="inlineStr">
        <is>
          <t>구동축</t>
        </is>
      </c>
      <c r="E64" s="7" t="inlineStr">
        <is>
          <t>주간</t>
        </is>
      </c>
      <c r="F64" s="8" t="n">
        <v>422</v>
      </c>
      <c r="G64" s="26" t="n">
        <v>3</v>
      </c>
      <c r="H64" s="26" t="n">
        <v>6.7</v>
      </c>
      <c r="I64" s="7" t="inlineStr">
        <is>
          <t>김현수</t>
        </is>
      </c>
    </row>
    <row r="65">
      <c r="A65" s="25" t="n">
        <v>46098</v>
      </c>
      <c r="B65" s="7" t="inlineStr">
        <is>
          <t>조립</t>
        </is>
      </c>
      <c r="C65" s="7" t="inlineStr">
        <is>
          <t>ROB-01</t>
        </is>
      </c>
      <c r="D65" s="26" t="inlineStr">
        <is>
          <t>구동축</t>
        </is>
      </c>
      <c r="E65" s="7" t="inlineStr">
        <is>
          <t>야간</t>
        </is>
      </c>
      <c r="F65" s="8" t="n">
        <v>429</v>
      </c>
      <c r="G65" s="26" t="n">
        <v>14</v>
      </c>
      <c r="H65" s="26" t="n">
        <v>7.2</v>
      </c>
      <c r="I65" s="7" t="inlineStr">
        <is>
          <t>박지훈</t>
        </is>
      </c>
    </row>
    <row r="66">
      <c r="A66" s="25" t="n">
        <v>46098</v>
      </c>
      <c r="B66" s="7" t="inlineStr">
        <is>
          <t>검사</t>
        </is>
      </c>
      <c r="C66" s="7" t="inlineStr">
        <is>
          <t>VIS-01</t>
        </is>
      </c>
      <c r="D66" s="26" t="inlineStr">
        <is>
          <t>밸브블록</t>
        </is>
      </c>
      <c r="E66" s="7" t="inlineStr">
        <is>
          <t>주간</t>
        </is>
      </c>
      <c r="F66" s="8" t="n">
        <v>339</v>
      </c>
      <c r="G66" s="26" t="n">
        <v>2</v>
      </c>
      <c r="H66" s="26" t="n">
        <v>6.7</v>
      </c>
      <c r="I66" s="7" t="inlineStr">
        <is>
          <t>이서연</t>
        </is>
      </c>
    </row>
    <row r="67">
      <c r="A67" s="25" t="n">
        <v>46098</v>
      </c>
      <c r="B67" s="7" t="inlineStr">
        <is>
          <t>포장</t>
        </is>
      </c>
      <c r="C67" s="7" t="inlineStr">
        <is>
          <t>PKG-01</t>
        </is>
      </c>
      <c r="D67" s="26" t="inlineStr">
        <is>
          <t>밸브블록</t>
        </is>
      </c>
      <c r="E67" s="7" t="inlineStr">
        <is>
          <t>야간</t>
        </is>
      </c>
      <c r="F67" s="8" t="n">
        <v>563</v>
      </c>
      <c r="G67" s="26" t="n">
        <v>10</v>
      </c>
      <c r="H67" s="26" t="n">
        <v>7.6</v>
      </c>
      <c r="I67" s="7" t="inlineStr">
        <is>
          <t>최민재</t>
        </is>
      </c>
    </row>
    <row r="68">
      <c r="A68" s="25" t="n">
        <v>46099</v>
      </c>
      <c r="B68" s="7" t="inlineStr">
        <is>
          <t>가공</t>
        </is>
      </c>
      <c r="C68" s="7" t="inlineStr">
        <is>
          <t>CNC-01</t>
        </is>
      </c>
      <c r="D68" s="26" t="inlineStr">
        <is>
          <t>베어링유닛</t>
        </is>
      </c>
      <c r="E68" s="7" t="inlineStr">
        <is>
          <t>주간</t>
        </is>
      </c>
      <c r="F68" s="8" t="n">
        <v>425</v>
      </c>
      <c r="G68" s="26" t="n">
        <v>5</v>
      </c>
      <c r="H68" s="26" t="n">
        <v>7.3</v>
      </c>
      <c r="I68" s="7" t="inlineStr">
        <is>
          <t>정우진</t>
        </is>
      </c>
    </row>
    <row r="69">
      <c r="A69" s="25" t="n">
        <v>46099</v>
      </c>
      <c r="B69" s="7" t="inlineStr">
        <is>
          <t>조립</t>
        </is>
      </c>
      <c r="C69" s="7" t="inlineStr">
        <is>
          <t>ROB-01</t>
        </is>
      </c>
      <c r="D69" s="26" t="inlineStr">
        <is>
          <t>베어링유닛</t>
        </is>
      </c>
      <c r="E69" s="7" t="inlineStr">
        <is>
          <t>야간</t>
        </is>
      </c>
      <c r="F69" s="8" t="n">
        <v>285</v>
      </c>
      <c r="G69" s="26" t="n">
        <v>16</v>
      </c>
      <c r="H69" s="26" t="n">
        <v>7</v>
      </c>
      <c r="I69" s="7" t="inlineStr">
        <is>
          <t>김현수</t>
        </is>
      </c>
    </row>
    <row r="70">
      <c r="A70" s="25" t="n">
        <v>46099</v>
      </c>
      <c r="B70" s="7" t="inlineStr">
        <is>
          <t>검사</t>
        </is>
      </c>
      <c r="C70" s="7" t="inlineStr">
        <is>
          <t>VIS-01</t>
        </is>
      </c>
      <c r="D70" s="26" t="inlineStr">
        <is>
          <t>감속기어</t>
        </is>
      </c>
      <c r="E70" s="7" t="inlineStr">
        <is>
          <t>주간</t>
        </is>
      </c>
      <c r="F70" s="8" t="n">
        <v>533</v>
      </c>
      <c r="G70" s="26" t="n">
        <v>17</v>
      </c>
      <c r="H70" s="26" t="n">
        <v>7.9</v>
      </c>
      <c r="I70" s="7" t="inlineStr">
        <is>
          <t>박지훈</t>
        </is>
      </c>
    </row>
    <row r="71">
      <c r="A71" s="25" t="n">
        <v>46099</v>
      </c>
      <c r="B71" s="7" t="inlineStr">
        <is>
          <t>포장</t>
        </is>
      </c>
      <c r="C71" s="7" t="inlineStr">
        <is>
          <t>PKG-01</t>
        </is>
      </c>
      <c r="D71" s="26" t="inlineStr">
        <is>
          <t>감속기어</t>
        </is>
      </c>
      <c r="E71" s="7" t="inlineStr">
        <is>
          <t>야간</t>
        </is>
      </c>
      <c r="F71" s="8" t="n">
        <v>568</v>
      </c>
      <c r="G71" s="26" t="n">
        <v>16</v>
      </c>
      <c r="H71" s="26" t="n">
        <v>6.9</v>
      </c>
      <c r="I71" s="7" t="inlineStr">
        <is>
          <t>이서연</t>
        </is>
      </c>
    </row>
    <row r="72">
      <c r="A72" s="25" t="n">
        <v>46100</v>
      </c>
      <c r="B72" s="7" t="inlineStr">
        <is>
          <t>가공</t>
        </is>
      </c>
      <c r="C72" s="7" t="inlineStr">
        <is>
          <t>CNC-01</t>
        </is>
      </c>
      <c r="D72" s="26" t="inlineStr">
        <is>
          <t>구동축</t>
        </is>
      </c>
      <c r="E72" s="7" t="inlineStr">
        <is>
          <t>주간</t>
        </is>
      </c>
      <c r="F72" s="8" t="n">
        <v>509</v>
      </c>
      <c r="G72" s="26" t="n">
        <v>2</v>
      </c>
      <c r="H72" s="26" t="n">
        <v>7.5</v>
      </c>
      <c r="I72" s="7" t="inlineStr">
        <is>
          <t>최민재</t>
        </is>
      </c>
    </row>
    <row r="73">
      <c r="A73" s="25" t="n">
        <v>46100</v>
      </c>
      <c r="B73" s="7" t="inlineStr">
        <is>
          <t>조립</t>
        </is>
      </c>
      <c r="C73" s="7" t="inlineStr">
        <is>
          <t>ROB-01</t>
        </is>
      </c>
      <c r="D73" s="26" t="inlineStr">
        <is>
          <t>구동축</t>
        </is>
      </c>
      <c r="E73" s="7" t="inlineStr">
        <is>
          <t>야간</t>
        </is>
      </c>
      <c r="F73" s="8" t="n">
        <v>313</v>
      </c>
      <c r="G73" s="26" t="n">
        <v>16</v>
      </c>
      <c r="H73" s="26" t="n">
        <v>7.1</v>
      </c>
      <c r="I73" s="7" t="inlineStr">
        <is>
          <t>정우진</t>
        </is>
      </c>
    </row>
    <row r="74">
      <c r="A74" s="25" t="n">
        <v>46100</v>
      </c>
      <c r="B74" s="7" t="inlineStr">
        <is>
          <t>검사</t>
        </is>
      </c>
      <c r="C74" s="7" t="inlineStr">
        <is>
          <t>VIS-01</t>
        </is>
      </c>
      <c r="D74" s="26" t="inlineStr">
        <is>
          <t>밸브블록</t>
        </is>
      </c>
      <c r="E74" s="7" t="inlineStr">
        <is>
          <t>주간</t>
        </is>
      </c>
      <c r="F74" s="8" t="n">
        <v>265</v>
      </c>
      <c r="G74" s="26" t="n">
        <v>11</v>
      </c>
      <c r="H74" s="26" t="n">
        <v>7.7</v>
      </c>
      <c r="I74" s="7" t="inlineStr">
        <is>
          <t>김현수</t>
        </is>
      </c>
    </row>
    <row r="75">
      <c r="A75" s="25" t="n">
        <v>46100</v>
      </c>
      <c r="B75" s="7" t="inlineStr">
        <is>
          <t>포장</t>
        </is>
      </c>
      <c r="C75" s="7" t="inlineStr">
        <is>
          <t>PKG-01</t>
        </is>
      </c>
      <c r="D75" s="26" t="inlineStr">
        <is>
          <t>밸브블록</t>
        </is>
      </c>
      <c r="E75" s="7" t="inlineStr">
        <is>
          <t>야간</t>
        </is>
      </c>
      <c r="F75" s="8" t="n">
        <v>452</v>
      </c>
      <c r="G75" s="26" t="n">
        <v>17</v>
      </c>
      <c r="H75" s="26" t="n">
        <v>7.7</v>
      </c>
      <c r="I75" s="7" t="inlineStr">
        <is>
          <t>박지훈</t>
        </is>
      </c>
    </row>
    <row r="76">
      <c r="A76" s="25" t="n">
        <v>46101</v>
      </c>
      <c r="B76" s="7" t="inlineStr">
        <is>
          <t>가공</t>
        </is>
      </c>
      <c r="C76" s="7" t="inlineStr">
        <is>
          <t>CNC-01</t>
        </is>
      </c>
      <c r="D76" s="26" t="inlineStr">
        <is>
          <t>베어링유닛</t>
        </is>
      </c>
      <c r="E76" s="7" t="inlineStr">
        <is>
          <t>주간</t>
        </is>
      </c>
      <c r="F76" s="8" t="n">
        <v>348</v>
      </c>
      <c r="G76" s="26" t="n">
        <v>7</v>
      </c>
      <c r="H76" s="26" t="n">
        <v>7.4</v>
      </c>
      <c r="I76" s="7" t="inlineStr">
        <is>
          <t>이서연</t>
        </is>
      </c>
    </row>
    <row r="77">
      <c r="A77" s="25" t="n">
        <v>46101</v>
      </c>
      <c r="B77" s="7" t="inlineStr">
        <is>
          <t>조립</t>
        </is>
      </c>
      <c r="C77" s="7" t="inlineStr">
        <is>
          <t>ROB-01</t>
        </is>
      </c>
      <c r="D77" s="26" t="inlineStr">
        <is>
          <t>베어링유닛</t>
        </is>
      </c>
      <c r="E77" s="7" t="inlineStr">
        <is>
          <t>야간</t>
        </is>
      </c>
      <c r="F77" s="8" t="n">
        <v>583</v>
      </c>
      <c r="G77" s="26" t="n">
        <v>6</v>
      </c>
      <c r="H77" s="26" t="n">
        <v>7.7</v>
      </c>
      <c r="I77" s="7" t="inlineStr">
        <is>
          <t>최민재</t>
        </is>
      </c>
    </row>
    <row r="78">
      <c r="A78" s="25" t="n">
        <v>46101</v>
      </c>
      <c r="B78" s="7" t="inlineStr">
        <is>
          <t>검사</t>
        </is>
      </c>
      <c r="C78" s="7" t="inlineStr">
        <is>
          <t>VIS-01</t>
        </is>
      </c>
      <c r="D78" s="26" t="inlineStr">
        <is>
          <t>감속기어</t>
        </is>
      </c>
      <c r="E78" s="7" t="inlineStr">
        <is>
          <t>주간</t>
        </is>
      </c>
      <c r="F78" s="8" t="n">
        <v>598</v>
      </c>
      <c r="G78" s="26" t="n">
        <v>12</v>
      </c>
      <c r="H78" s="26" t="n">
        <v>7.6</v>
      </c>
      <c r="I78" s="7" t="inlineStr">
        <is>
          <t>정우진</t>
        </is>
      </c>
    </row>
    <row r="79">
      <c r="A79" s="25" t="n">
        <v>46101</v>
      </c>
      <c r="B79" s="7" t="inlineStr">
        <is>
          <t>포장</t>
        </is>
      </c>
      <c r="C79" s="7" t="inlineStr">
        <is>
          <t>PKG-01</t>
        </is>
      </c>
      <c r="D79" s="26" t="inlineStr">
        <is>
          <t>감속기어</t>
        </is>
      </c>
      <c r="E79" s="7" t="inlineStr">
        <is>
          <t>야간</t>
        </is>
      </c>
      <c r="F79" s="8" t="n">
        <v>296</v>
      </c>
      <c r="G79" s="26" t="n">
        <v>6</v>
      </c>
      <c r="H79" s="26" t="n">
        <v>7.3</v>
      </c>
      <c r="I79" s="7" t="inlineStr">
        <is>
          <t>김현수</t>
        </is>
      </c>
    </row>
    <row r="80">
      <c r="A80" s="25" t="n">
        <v>46102</v>
      </c>
      <c r="B80" s="7" t="inlineStr">
        <is>
          <t>가공</t>
        </is>
      </c>
      <c r="C80" s="7" t="inlineStr">
        <is>
          <t>CNC-01</t>
        </is>
      </c>
      <c r="D80" s="26" t="inlineStr">
        <is>
          <t>구동축</t>
        </is>
      </c>
      <c r="E80" s="7" t="inlineStr">
        <is>
          <t>주간</t>
        </is>
      </c>
      <c r="F80" s="8" t="n">
        <v>362</v>
      </c>
      <c r="G80" s="26" t="n">
        <v>0</v>
      </c>
      <c r="H80" s="26" t="n">
        <v>8</v>
      </c>
      <c r="I80" s="7" t="inlineStr">
        <is>
          <t>박지훈</t>
        </is>
      </c>
    </row>
    <row r="81">
      <c r="A81" s="25" t="n">
        <v>46102</v>
      </c>
      <c r="B81" s="7" t="inlineStr">
        <is>
          <t>조립</t>
        </is>
      </c>
      <c r="C81" s="7" t="inlineStr">
        <is>
          <t>ROB-01</t>
        </is>
      </c>
      <c r="D81" s="26" t="inlineStr">
        <is>
          <t>구동축</t>
        </is>
      </c>
      <c r="E81" s="7" t="inlineStr">
        <is>
          <t>야간</t>
        </is>
      </c>
      <c r="F81" s="8" t="n">
        <v>584</v>
      </c>
      <c r="G81" s="26" t="n">
        <v>8</v>
      </c>
      <c r="H81" s="26" t="n">
        <v>7.2</v>
      </c>
      <c r="I81" s="7" t="inlineStr">
        <is>
          <t>이서연</t>
        </is>
      </c>
    </row>
    <row r="82">
      <c r="A82" s="25" t="n">
        <v>46102</v>
      </c>
      <c r="B82" s="7" t="inlineStr">
        <is>
          <t>검사</t>
        </is>
      </c>
      <c r="C82" s="7" t="inlineStr">
        <is>
          <t>VIS-01</t>
        </is>
      </c>
      <c r="D82" s="26" t="inlineStr">
        <is>
          <t>밸브블록</t>
        </is>
      </c>
      <c r="E82" s="7" t="inlineStr">
        <is>
          <t>주간</t>
        </is>
      </c>
      <c r="F82" s="8" t="n">
        <v>279</v>
      </c>
      <c r="G82" s="26" t="n">
        <v>11</v>
      </c>
      <c r="H82" s="26" t="n">
        <v>7.2</v>
      </c>
      <c r="I82" s="7" t="inlineStr">
        <is>
          <t>최민재</t>
        </is>
      </c>
    </row>
    <row r="83">
      <c r="A83" s="25" t="n">
        <v>46102</v>
      </c>
      <c r="B83" s="7" t="inlineStr">
        <is>
          <t>포장</t>
        </is>
      </c>
      <c r="C83" s="7" t="inlineStr">
        <is>
          <t>PKG-01</t>
        </is>
      </c>
      <c r="D83" s="26" t="inlineStr">
        <is>
          <t>밸브블록</t>
        </is>
      </c>
      <c r="E83" s="7" t="inlineStr">
        <is>
          <t>야간</t>
        </is>
      </c>
      <c r="F83" s="8" t="n">
        <v>550</v>
      </c>
      <c r="G83" s="26" t="n">
        <v>11</v>
      </c>
      <c r="H83" s="26" t="n">
        <v>7.9</v>
      </c>
      <c r="I83" s="7" t="inlineStr">
        <is>
          <t>정우진</t>
        </is>
      </c>
    </row>
  </sheetData>
  <mergeCells count="1">
    <mergeCell ref="A1:I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42" customWidth="1" min="4" max="4"/>
  </cols>
  <sheetData>
    <row r="1" ht="26" customHeight="1">
      <c r="A1" s="14" t="inlineStr">
        <is>
          <t>2급 ④ 기타작업 미션 14가지</t>
        </is>
      </c>
    </row>
    <row r="2" ht="30" customHeight="1">
      <c r="A2" s="13" t="inlineStr">
        <is>
          <t>차트는 '어느 범위를 잡고 시작하는가' 에서 갈립니다. 머리글까지 포함해 잡으세요.</t>
        </is>
      </c>
    </row>
    <row r="4" ht="24" customHeight="1">
      <c r="A4" s="6" t="inlineStr">
        <is>
          <t>번호</t>
        </is>
      </c>
      <c r="B4" s="6" t="inlineStr">
        <is>
          <t>미션 — 무엇을 하는가</t>
        </is>
      </c>
      <c r="C4" s="6" t="inlineStr">
        <is>
          <t>다 함</t>
        </is>
      </c>
      <c r="D4" s="6" t="inlineStr">
        <is>
          <t>어디서 (메뉴)</t>
        </is>
      </c>
    </row>
    <row r="5" ht="30" customHeight="1">
      <c r="A5" s="7" t="n">
        <v>1</v>
      </c>
      <c r="B5" s="27" t="inlineStr">
        <is>
          <t>[월별실적 E4·F4] 불량률·가동률 채우고 아래로 끌어 채우기.</t>
        </is>
      </c>
      <c r="C5" s="28" t="inlineStr">
        <is>
          <t>□</t>
        </is>
      </c>
      <c r="D5" s="23" t="inlineStr">
        <is>
          <t>=D4/C4 · =C4/B4</t>
        </is>
      </c>
    </row>
    <row r="6" ht="30" customHeight="1">
      <c r="A6" s="7" t="n">
        <v>2</v>
      </c>
      <c r="B6" s="27" t="inlineStr">
        <is>
          <t>[월별실적] 계획수량·생산수량 묶은 세로 막대 차트 만들기.</t>
        </is>
      </c>
      <c r="C6" s="28" t="inlineStr">
        <is>
          <t>□</t>
        </is>
      </c>
      <c r="D6" s="23" t="inlineStr">
        <is>
          <t>A3:C15 → 삽입 → 세로 막대</t>
        </is>
      </c>
    </row>
    <row r="7" ht="30" customHeight="1">
      <c r="A7" s="7" t="n">
        <v>3</v>
      </c>
      <c r="B7" s="27" t="inlineStr">
        <is>
          <t>[월별실적] 차트 제목을 '월별 생산 실적' 으로.</t>
        </is>
      </c>
      <c r="C7" s="28" t="inlineStr">
        <is>
          <t>□</t>
        </is>
      </c>
      <c r="D7" s="23" t="inlineStr">
        <is>
          <t>차트 요소(+)</t>
        </is>
      </c>
    </row>
    <row r="8" ht="30" customHeight="1">
      <c r="A8" s="7" t="n">
        <v>4</v>
      </c>
      <c r="B8" s="27" t="inlineStr">
        <is>
          <t>[월별실적] 범례를 아래쪽으로 옮기기.</t>
        </is>
      </c>
      <c r="C8" s="28" t="inlineStr">
        <is>
          <t>□</t>
        </is>
      </c>
      <c r="D8" s="23" t="inlineStr">
        <is>
          <t>차트 요소(+) → 범례</t>
        </is>
      </c>
    </row>
    <row r="9" ht="30" customHeight="1">
      <c r="A9" s="7" t="n">
        <v>5</v>
      </c>
      <c r="B9" s="27" t="inlineStr">
        <is>
          <t>[월별실적] 생산수량 계열에만 데이터 레이블 넣기.</t>
        </is>
      </c>
      <c r="C9" s="28" t="inlineStr">
        <is>
          <t>□</t>
        </is>
      </c>
      <c r="D9" s="23" t="inlineStr">
        <is>
          <t>계열 클릭 → 데이터 레이블</t>
        </is>
      </c>
    </row>
    <row r="10" ht="30" customHeight="1">
      <c r="A10" s="7" t="n">
        <v>6</v>
      </c>
      <c r="B10" s="27" t="inlineStr">
        <is>
          <t>[월별실적] 세로 축 최소값을 6,000 으로.</t>
        </is>
      </c>
      <c r="C10" s="28" t="inlineStr">
        <is>
          <t>□</t>
        </is>
      </c>
      <c r="D10" s="23" t="inlineStr">
        <is>
          <t>축 서식 → 경계</t>
        </is>
      </c>
    </row>
    <row r="11" ht="30" customHeight="1">
      <c r="A11" s="7" t="n">
        <v>7</v>
      </c>
      <c r="B11" s="27" t="inlineStr">
        <is>
          <t>[월별실적] 눈금선 지우기.</t>
        </is>
      </c>
      <c r="C11" s="28" t="inlineStr">
        <is>
          <t>□</t>
        </is>
      </c>
      <c r="D11" s="23" t="inlineStr">
        <is>
          <t>차트 요소(+) → 눈금선 해제</t>
        </is>
      </c>
    </row>
    <row r="12" ht="30" customHeight="1">
      <c r="A12" s="7" t="n">
        <v>8</v>
      </c>
      <c r="B12" s="27" t="inlineStr">
        <is>
          <t>[월별실적] 불량률을 꺾은선 보조 축으로 얹기 (콤보 차트).</t>
        </is>
      </c>
      <c r="C12" s="28" t="inlineStr">
        <is>
          <t>□</t>
        </is>
      </c>
      <c r="D12" s="23" t="inlineStr">
        <is>
          <t>차트 종류 변경 → 콤보</t>
        </is>
      </c>
    </row>
    <row r="13" ht="30" customHeight="1">
      <c r="A13" s="7" t="n">
        <v>9</v>
      </c>
      <c r="B13" s="27" t="inlineStr">
        <is>
          <t>[월별실적] 차트를 새 시트로 옮기기.</t>
        </is>
      </c>
      <c r="C13" s="28" t="inlineStr">
        <is>
          <t>□</t>
        </is>
      </c>
      <c r="D13" s="23" t="inlineStr">
        <is>
          <t>차트 디자인 → 차트 이동</t>
        </is>
      </c>
    </row>
    <row r="14" ht="30" customHeight="1">
      <c r="A14" s="7" t="n">
        <v>10</v>
      </c>
      <c r="B14" s="27" t="inlineStr">
        <is>
          <t>[인쇄연습] 가로 방향 · 너비 1페이지로 맞추기.</t>
        </is>
      </c>
      <c r="C14" s="28" t="inlineStr">
        <is>
          <t>□</t>
        </is>
      </c>
      <c r="D14" s="23" t="inlineStr">
        <is>
          <t>페이지 레이아웃</t>
        </is>
      </c>
    </row>
    <row r="15" ht="30" customHeight="1">
      <c r="A15" s="7" t="n">
        <v>11</v>
      </c>
      <c r="B15" s="27" t="inlineStr">
        <is>
          <t>[인쇄연습] 모든 쪽에 3행 머리글이 반복되게.</t>
        </is>
      </c>
      <c r="C15" s="28" t="inlineStr">
        <is>
          <t>□</t>
        </is>
      </c>
      <c r="D15" s="23" t="inlineStr">
        <is>
          <t>인쇄 제목 → 반복할 행</t>
        </is>
      </c>
    </row>
    <row r="16" ht="30" customHeight="1">
      <c r="A16" s="7" t="n">
        <v>12</v>
      </c>
      <c r="B16" s="27" t="inlineStr">
        <is>
          <t>[인쇄연습] 가운데 맞춰 인쇄 + 바닥글에 쪽 번호.</t>
        </is>
      </c>
      <c r="C16" s="28" t="inlineStr">
        <is>
          <t>□</t>
        </is>
      </c>
      <c r="D16" s="23" t="inlineStr">
        <is>
          <t>페이지 설정</t>
        </is>
      </c>
    </row>
    <row r="17" ht="30" customHeight="1">
      <c r="A17" s="7" t="n">
        <v>13</v>
      </c>
      <c r="B17" s="27" t="inlineStr">
        <is>
          <t>[인쇄연습] A4 클릭 후 틀 고정.</t>
        </is>
      </c>
      <c r="C17" s="28" t="inlineStr">
        <is>
          <t>□</t>
        </is>
      </c>
      <c r="D17" s="23" t="inlineStr">
        <is>
          <t>보기 → 틀 고정</t>
        </is>
      </c>
    </row>
    <row r="18" ht="30" customHeight="1">
      <c r="A18" s="7" t="n">
        <v>14</v>
      </c>
      <c r="B18" s="27" t="inlineStr">
        <is>
          <t>[월별실적] '서식맞추기' 매크로 기록해 단추에 연결하기.</t>
        </is>
      </c>
      <c r="C18" s="28" t="inlineStr">
        <is>
          <t>□</t>
        </is>
      </c>
      <c r="D18" s="23" t="inlineStr">
        <is>
          <t>개발 도구 → 매크로 기록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14" t="inlineStr">
        <is>
          <t>2급 ④ 기타작업 — 단계별로 따라 하기</t>
        </is>
      </c>
    </row>
    <row r="2" ht="30" customHeight="1">
      <c r="A2" s="13" t="inlineStr">
        <is>
          <t>차트는 범위를 잡는 것부터, 매크로는 개발 도구 탭을 켜는 것부터 시작합니다.</t>
        </is>
      </c>
    </row>
    <row r="4" ht="24" customHeight="1">
      <c r="A4" s="29" t="inlineStr">
        <is>
          <t xml:space="preserve">  미션 1 · 불량률·가동률 채우기</t>
        </is>
      </c>
    </row>
    <row r="5" ht="20" customHeight="1">
      <c r="A5" s="30" t="inlineStr">
        <is>
          <t>어디서</t>
        </is>
      </c>
      <c r="B5" s="31" t="inlineStr">
        <is>
          <t>[월별실적] E4 · F4</t>
        </is>
      </c>
    </row>
    <row r="6" ht="28" customHeight="1">
      <c r="A6" s="32" t="inlineStr">
        <is>
          <t>1단계</t>
        </is>
      </c>
      <c r="B6" s="19" t="inlineStr">
        <is>
          <t>E4 의 0 을 지우고  =D4/C4  를 넣습니다.</t>
        </is>
      </c>
      <c r="C6" s="23" t="inlineStr">
        <is>
          <t>불량수 ÷ 생산수량</t>
        </is>
      </c>
    </row>
    <row r="7" ht="28" customHeight="1">
      <c r="A7" s="32" t="inlineStr">
        <is>
          <t>2단계</t>
        </is>
      </c>
      <c r="B7" s="19" t="inlineStr">
        <is>
          <t>F4 의 0 을 지우고  =C4/B4  를 넣습니다.</t>
        </is>
      </c>
      <c r="C7" s="23" t="inlineStr">
        <is>
          <t>생산수량 ÷ 계획수량</t>
        </is>
      </c>
    </row>
    <row r="8" ht="28" customHeight="1">
      <c r="A8" s="32" t="inlineStr">
        <is>
          <t>3단계</t>
        </is>
      </c>
      <c r="B8" s="19" t="inlineStr">
        <is>
          <t>E4:F4 를 함께 잡고 채우기 핸들을 15행까지 끌어 내립니다.</t>
        </is>
      </c>
      <c r="C8" s="23" t="inlineStr">
        <is>
          <t>두 열을 한 번에 채울 수 있습니다</t>
        </is>
      </c>
    </row>
    <row r="9" ht="28" customHeight="1">
      <c r="A9" s="32" t="inlineStr">
        <is>
          <t>4단계</t>
        </is>
      </c>
      <c r="B9" s="19" t="inlineStr">
        <is>
          <t>★ *100 을 하지 않습니다.</t>
        </is>
      </c>
      <c r="C9" s="23" t="inlineStr">
        <is>
          <t>셀 서식이 이미 0.0% 라서 100배로 보여 줍니다</t>
        </is>
      </c>
    </row>
    <row r="10" ht="26" customHeight="1">
      <c r="A10" s="33" t="inlineStr">
        <is>
          <t>확인</t>
        </is>
      </c>
      <c r="B10" s="34" t="inlineStr">
        <is>
          <t>이렇게 되면 성공 — 2.4% · 96.9% 처럼 나오고 채점 줄이 12 / 12 가 됩니다</t>
        </is>
      </c>
    </row>
    <row r="12" ht="24" customHeight="1">
      <c r="A12" s="29" t="inlineStr">
        <is>
          <t xml:space="preserve">  미션 2 · 묶은 세로 막대 차트 만들기</t>
        </is>
      </c>
    </row>
    <row r="13" ht="20" customHeight="1">
      <c r="A13" s="30" t="inlineStr">
        <is>
          <t>어디서</t>
        </is>
      </c>
      <c r="B13" s="31" t="inlineStr">
        <is>
          <t>[월별실적] 삽입 탭</t>
        </is>
      </c>
    </row>
    <row r="14" ht="28" customHeight="1">
      <c r="A14" s="32" t="inlineStr">
        <is>
          <t>1단계</t>
        </is>
      </c>
      <c r="B14" s="19" t="inlineStr">
        <is>
          <t>A3:C15 를 드래그해 잡습니다.</t>
        </is>
      </c>
      <c r="C14" s="23" t="inlineStr">
        <is>
          <t>★ 머리글(3행)까지 포함해야 범례 이름이 자동으로 붙습니다</t>
        </is>
      </c>
    </row>
    <row r="15" ht="28" customHeight="1">
      <c r="A15" s="32" t="inlineStr">
        <is>
          <t>2단계</t>
        </is>
      </c>
      <c r="B15" s="19" t="inlineStr">
        <is>
          <t>삽입 → 세로 막대형 → [묶은 세로 막대형].</t>
        </is>
      </c>
      <c r="C15" s="23" t="inlineStr">
        <is>
          <t>맨 왼쪽 모양입니다</t>
        </is>
      </c>
    </row>
    <row r="16" ht="28" customHeight="1">
      <c r="A16" s="32" t="inlineStr">
        <is>
          <t>3단계</t>
        </is>
      </c>
      <c r="B16" s="19" t="inlineStr">
        <is>
          <t>차트가 생기면 표를 가리지 않는 자리로 끌어 옮깁니다.</t>
        </is>
      </c>
      <c r="C16" s="23" t="inlineStr">
        <is>
          <t>차트 테두리를 잡고 끕니다</t>
        </is>
      </c>
    </row>
    <row r="17" ht="28" customHeight="1">
      <c r="A17" s="32" t="inlineStr">
        <is>
          <t>4단계</t>
        </is>
      </c>
      <c r="B17" s="19" t="inlineStr">
        <is>
          <t>모서리를 끌어 크기를 키웁니다.</t>
        </is>
      </c>
      <c r="C17" s="23" t="inlineStr">
        <is>
          <t>Alt 를 누른 채 끌면 칸에 딱 맞게 붙습니다</t>
        </is>
      </c>
    </row>
    <row r="18" ht="26" customHeight="1">
      <c r="A18" s="33" t="inlineStr">
        <is>
          <t>확인</t>
        </is>
      </c>
      <c r="B18" s="34" t="inlineStr">
        <is>
          <t>이렇게 되면 성공 — 월마다 계획·생산 막대 두 개가 나란한 차트가 생깁니다</t>
        </is>
      </c>
    </row>
    <row r="20" ht="24" customHeight="1">
      <c r="A20" s="29" t="inlineStr">
        <is>
          <t xml:space="preserve">  미션 3 · 제목 · 범례 · 눈금선 손보기</t>
        </is>
      </c>
    </row>
    <row r="21" ht="20" customHeight="1">
      <c r="A21" s="30" t="inlineStr">
        <is>
          <t>어디서</t>
        </is>
      </c>
      <c r="B21" s="31" t="inlineStr">
        <is>
          <t>차트를 클릭하면 오른쪽에 나오는 + 단추</t>
        </is>
      </c>
    </row>
    <row r="22" ht="28" customHeight="1">
      <c r="A22" s="32" t="inlineStr">
        <is>
          <t>1단계</t>
        </is>
      </c>
      <c r="B22" s="19" t="inlineStr">
        <is>
          <t>차트를 클릭하고 오른쪽 위 [+] 를 누릅니다.</t>
        </is>
      </c>
      <c r="C22" s="23" t="inlineStr">
        <is>
          <t>차트 요소 목록이 나옵니다</t>
        </is>
      </c>
    </row>
    <row r="23" ht="28" customHeight="1">
      <c r="A23" s="32" t="inlineStr">
        <is>
          <t>2단계</t>
        </is>
      </c>
      <c r="B23" s="19" t="inlineStr">
        <is>
          <t>[차트 제목] 을 켜고, 제목 글자를 '월별 생산 실적' 으로 고칩니다.</t>
        </is>
      </c>
      <c r="C23" s="23" t="inlineStr">
        <is>
          <t>제목을 한 번 클릭한 뒤 글자를 고칩니다</t>
        </is>
      </c>
    </row>
    <row r="24" ht="28" customHeight="1">
      <c r="A24" s="32" t="inlineStr">
        <is>
          <t>3단계</t>
        </is>
      </c>
      <c r="B24" s="19" t="inlineStr">
        <is>
          <t>[범례] 오른쪽 화살표 → [아래쪽].</t>
        </is>
      </c>
      <c r="C24" s="23" t="inlineStr"/>
    </row>
    <row r="25" ht="28" customHeight="1">
      <c r="A25" s="32" t="inlineStr">
        <is>
          <t>4단계</t>
        </is>
      </c>
      <c r="B25" s="19" t="inlineStr">
        <is>
          <t>[눈금선] 체크를 풉니다.</t>
        </is>
      </c>
      <c r="C25" s="23" t="inlineStr">
        <is>
          <t>발표용 차트는 눈금선을 빼면 깔끔합니다</t>
        </is>
      </c>
    </row>
    <row r="26" ht="26" customHeight="1">
      <c r="A26" s="33" t="inlineStr">
        <is>
          <t>확인</t>
        </is>
      </c>
      <c r="B26" s="34" t="inlineStr">
        <is>
          <t>이렇게 되면 성공 — 제목이 붙고 범례가 아래로 내려가며 가로줄이 사라집니다</t>
        </is>
      </c>
    </row>
    <row r="28" ht="24" customHeight="1">
      <c r="A28" s="29" t="inlineStr">
        <is>
          <t xml:space="preserve">  미션 4 · 데이터 레이블 · 축 최소값</t>
        </is>
      </c>
    </row>
    <row r="29" ht="20" customHeight="1">
      <c r="A29" s="30" t="inlineStr">
        <is>
          <t>어디서</t>
        </is>
      </c>
      <c r="B29" s="31" t="inlineStr">
        <is>
          <t>차트 안</t>
        </is>
      </c>
    </row>
    <row r="30" ht="28" customHeight="1">
      <c r="A30" s="32" t="inlineStr">
        <is>
          <t>1단계</t>
        </is>
      </c>
      <c r="B30" s="19" t="inlineStr">
        <is>
          <t>생산수량 막대 하나를 클릭합니다.</t>
        </is>
      </c>
      <c r="C30" s="23" t="inlineStr">
        <is>
          <t>그 계열 전체가 선택됩니다</t>
        </is>
      </c>
    </row>
    <row r="31" ht="28" customHeight="1">
      <c r="A31" s="32" t="inlineStr">
        <is>
          <t>2단계</t>
        </is>
      </c>
      <c r="B31" s="19" t="inlineStr">
        <is>
          <t>오른쪽 클릭 → [데이터 레이블 추가].</t>
        </is>
      </c>
      <c r="C31" s="23" t="inlineStr">
        <is>
          <t>막대 위에 숫자가 붙습니다</t>
        </is>
      </c>
    </row>
    <row r="32" ht="28" customHeight="1">
      <c r="A32" s="32" t="inlineStr">
        <is>
          <t>3단계</t>
        </is>
      </c>
      <c r="B32" s="19" t="inlineStr">
        <is>
          <t>세로 축 숫자를 더블클릭해 [축 서식] 을 엽니다.</t>
        </is>
      </c>
      <c r="C32" s="23" t="inlineStr">
        <is>
          <t>오른쪽에 창이 열립니다</t>
        </is>
      </c>
    </row>
    <row r="33" ht="28" customHeight="1">
      <c r="A33" s="32" t="inlineStr">
        <is>
          <t>4단계</t>
        </is>
      </c>
      <c r="B33" s="19" t="inlineStr">
        <is>
          <t>[경계] 의 최소값을 6000 으로 고칩니다.</t>
        </is>
      </c>
      <c r="C33" s="23" t="inlineStr">
        <is>
          <t>차이가 더 뚜렷해 보입니다</t>
        </is>
      </c>
    </row>
    <row r="34" ht="26" customHeight="1">
      <c r="A34" s="33" t="inlineStr">
        <is>
          <t>확인</t>
        </is>
      </c>
      <c r="B34" s="34" t="inlineStr">
        <is>
          <t>이렇게 되면 성공 — 막대 위에 숫자가 붙고 축이 6,000부터 시작합니다</t>
        </is>
      </c>
    </row>
    <row r="36" ht="24" customHeight="1">
      <c r="A36" s="29" t="inlineStr">
        <is>
          <t xml:space="preserve">  미션 5 · 콤보 차트 — 불량률을 보조 축 꺾은선으로</t>
        </is>
      </c>
    </row>
    <row r="37" ht="20" customHeight="1">
      <c r="A37" s="30" t="inlineStr">
        <is>
          <t>어디서</t>
        </is>
      </c>
      <c r="B37" s="31" t="inlineStr">
        <is>
          <t>차트 디자인 → 차트 종류 변경</t>
        </is>
      </c>
    </row>
    <row r="38" ht="28" customHeight="1">
      <c r="A38" s="32" t="inlineStr">
        <is>
          <t>1단계</t>
        </is>
      </c>
      <c r="B38" s="19" t="inlineStr">
        <is>
          <t>차트를 클릭하고 [차트 디자인] → [차트 종류 변경].</t>
        </is>
      </c>
      <c r="C38" s="23" t="inlineStr"/>
    </row>
    <row r="39" ht="28" customHeight="1">
      <c r="A39" s="32" t="inlineStr">
        <is>
          <t>2단계</t>
        </is>
      </c>
      <c r="B39" s="19" t="inlineStr">
        <is>
          <t>왼쪽 맨 아래 [콤보] 를 고릅니다.</t>
        </is>
      </c>
      <c r="C39" s="23" t="inlineStr"/>
    </row>
    <row r="40" ht="28" customHeight="1">
      <c r="A40" s="32" t="inlineStr">
        <is>
          <t>3단계</t>
        </is>
      </c>
      <c r="B40" s="19" t="inlineStr">
        <is>
          <t>불량률 계열의 종류를 [표식이 있는 꺾은선형] 으로 바꿉니다.</t>
        </is>
      </c>
      <c r="C40" s="23" t="inlineStr">
        <is>
          <t>목록에 불량률이 없으면 먼저 차트 데이터 범위에 E열을 더해야 합니다</t>
        </is>
      </c>
    </row>
    <row r="41" ht="28" customHeight="1">
      <c r="A41" s="32" t="inlineStr">
        <is>
          <t>4단계</t>
        </is>
      </c>
      <c r="B41" s="19" t="inlineStr">
        <is>
          <t>불량률 줄의 [보조 축] 에 체크하고 확인.</t>
        </is>
      </c>
      <c r="C41" s="23" t="inlineStr">
        <is>
          <t>★ 단위가 다른 값(개수와 %)을 함께 볼 때 씁니다</t>
        </is>
      </c>
    </row>
    <row r="42" ht="26" customHeight="1">
      <c r="A42" s="33" t="inlineStr">
        <is>
          <t>확인</t>
        </is>
      </c>
      <c r="B42" s="34" t="inlineStr">
        <is>
          <t>이렇게 되면 성공 — 막대 위로 불량률 선이 지나가고 오른쪽에 % 축이 생깁니다</t>
        </is>
      </c>
    </row>
    <row r="44" ht="24" customHeight="1">
      <c r="A44" s="29" t="inlineStr">
        <is>
          <t xml:space="preserve">  미션 6 · 차트를 새 시트로 옮기기</t>
        </is>
      </c>
    </row>
    <row r="45" ht="20" customHeight="1">
      <c r="A45" s="30" t="inlineStr">
        <is>
          <t>어디서</t>
        </is>
      </c>
      <c r="B45" s="31" t="inlineStr">
        <is>
          <t>차트 디자인 → 차트 이동</t>
        </is>
      </c>
    </row>
    <row r="46" ht="28" customHeight="1">
      <c r="A46" s="32" t="inlineStr">
        <is>
          <t>1단계</t>
        </is>
      </c>
      <c r="B46" s="19" t="inlineStr">
        <is>
          <t>차트를 클릭하고 [차트 디자인] → [차트 이동].</t>
        </is>
      </c>
      <c r="C46" s="23" t="inlineStr"/>
    </row>
    <row r="47" ht="28" customHeight="1">
      <c r="A47" s="32" t="inlineStr">
        <is>
          <t>2단계</t>
        </is>
      </c>
      <c r="B47" s="19" t="inlineStr">
        <is>
          <t>[새 시트] 를 고르고 이름을 '생산차트' 라고 씁니다.</t>
        </is>
      </c>
      <c r="C47" s="23" t="inlineStr"/>
    </row>
    <row r="48" ht="28" customHeight="1">
      <c r="A48" s="32" t="inlineStr">
        <is>
          <t>3단계</t>
        </is>
      </c>
      <c r="B48" s="19" t="inlineStr">
        <is>
          <t>확인을 누릅니다.</t>
        </is>
      </c>
      <c r="C48" s="23" t="inlineStr">
        <is>
          <t>차트만 있는 시트가 만들어집니다</t>
        </is>
      </c>
    </row>
    <row r="49" ht="28" customHeight="1">
      <c r="A49" s="32" t="inlineStr">
        <is>
          <t>4단계</t>
        </is>
      </c>
      <c r="B49" s="19" t="inlineStr">
        <is>
          <t>되돌리려면 다시 차트 이동 → [워크시트에 삽입].</t>
        </is>
      </c>
      <c r="C49" s="23" t="inlineStr"/>
    </row>
    <row r="50" ht="26" customHeight="1">
      <c r="A50" s="33" t="inlineStr">
        <is>
          <t>확인</t>
        </is>
      </c>
      <c r="B50" s="34" t="inlineStr">
        <is>
          <t>이렇게 되면 성공 — '생산차트' 라는 시트가 새로 생기고 차트가 화면 가득 찹니다</t>
        </is>
      </c>
    </row>
    <row r="52" ht="24" customHeight="1">
      <c r="A52" s="29" t="inlineStr">
        <is>
          <t xml:space="preserve">  미션 7 · 가로 방향 · 너비 1페이지</t>
        </is>
      </c>
    </row>
    <row r="53" ht="20" customHeight="1">
      <c r="A53" s="30" t="inlineStr">
        <is>
          <t>어디서</t>
        </is>
      </c>
      <c r="B53" s="31" t="inlineStr">
        <is>
          <t>[인쇄연습] 페이지 레이아웃 탭</t>
        </is>
      </c>
    </row>
    <row r="54" ht="28" customHeight="1">
      <c r="A54" s="32" t="inlineStr">
        <is>
          <t>1단계</t>
        </is>
      </c>
      <c r="B54" s="19" t="inlineStr">
        <is>
          <t>[인쇄연습] 시트를 엽니다.</t>
        </is>
      </c>
      <c r="C54" s="23" t="inlineStr"/>
    </row>
    <row r="55" ht="28" customHeight="1">
      <c r="A55" s="32" t="inlineStr">
        <is>
          <t>2단계</t>
        </is>
      </c>
      <c r="B55" s="19" t="inlineStr">
        <is>
          <t>페이지 레이아웃 → 용지 방향 → [가로].</t>
        </is>
      </c>
      <c r="C55" s="23" t="inlineStr">
        <is>
          <t>열이 많은 표는 가로가 낫습니다</t>
        </is>
      </c>
    </row>
    <row r="56" ht="28" customHeight="1">
      <c r="A56" s="32" t="inlineStr">
        <is>
          <t>3단계</t>
        </is>
      </c>
      <c r="B56" s="19" t="inlineStr">
        <is>
          <t>[크기 조정] 그룹에서 너비를 [1페이지] 로 바꿉니다.</t>
        </is>
      </c>
      <c r="C56" s="23" t="inlineStr">
        <is>
          <t>높이는 [자동] 으로 둡니다</t>
        </is>
      </c>
    </row>
    <row r="57" ht="28" customHeight="1">
      <c r="A57" s="32" t="inlineStr">
        <is>
          <t>4단계</t>
        </is>
      </c>
      <c r="B57" s="19" t="inlineStr">
        <is>
          <t>Ctrl+P 로 미리 보기를 확인합니다.</t>
        </is>
      </c>
      <c r="C57" s="23" t="inlineStr">
        <is>
          <t>오른쪽 열이 잘리지 않으면 성공</t>
        </is>
      </c>
    </row>
    <row r="58" ht="26" customHeight="1">
      <c r="A58" s="33" t="inlineStr">
        <is>
          <t>확인</t>
        </is>
      </c>
      <c r="B58" s="34" t="inlineStr">
        <is>
          <t>이렇게 되면 성공 — 미리 보기에서 표가 한 장 너비에 다 들어갑니다</t>
        </is>
      </c>
    </row>
    <row r="60" ht="24" customHeight="1">
      <c r="A60" s="29" t="inlineStr">
        <is>
          <t xml:space="preserve">  미션 8 · 모든 쪽에 머리글 반복 · 쪽 번호</t>
        </is>
      </c>
    </row>
    <row r="61" ht="20" customHeight="1">
      <c r="A61" s="30" t="inlineStr">
        <is>
          <t>어디서</t>
        </is>
      </c>
      <c r="B61" s="31" t="inlineStr">
        <is>
          <t>[인쇄연습] 페이지 레이아웃 → 인쇄 제목</t>
        </is>
      </c>
    </row>
    <row r="62" ht="28" customHeight="1">
      <c r="A62" s="32" t="inlineStr">
        <is>
          <t>1단계</t>
        </is>
      </c>
      <c r="B62" s="19" t="inlineStr">
        <is>
          <t>페이지 레이아웃 → [인쇄 제목].</t>
        </is>
      </c>
      <c r="C62" s="23" t="inlineStr">
        <is>
          <t>페이지 설정 창이 열립니다</t>
        </is>
      </c>
    </row>
    <row r="63" ht="28" customHeight="1">
      <c r="A63" s="32" t="inlineStr">
        <is>
          <t>2단계</t>
        </is>
      </c>
      <c r="B63" s="19" t="inlineStr">
        <is>
          <t>[반복할 행] 칸을 클릭하고 3행 머리(행 번호 3)를 클릭합니다.</t>
        </is>
      </c>
      <c r="C63" s="23" t="inlineStr">
        <is>
          <t>$3:$3 이 들어갑니다</t>
        </is>
      </c>
    </row>
    <row r="64" ht="28" customHeight="1">
      <c r="A64" s="32" t="inlineStr">
        <is>
          <t>3단계</t>
        </is>
      </c>
      <c r="B64" s="19" t="inlineStr">
        <is>
          <t>같은 창 [여백] 탭 → 페이지 가운데 맞춤 [가로] 체크.</t>
        </is>
      </c>
      <c r="C64" s="23" t="inlineStr"/>
    </row>
    <row r="65" ht="28" customHeight="1">
      <c r="A65" s="32" t="inlineStr">
        <is>
          <t>4단계</t>
        </is>
      </c>
      <c r="B65" s="19" t="inlineStr">
        <is>
          <t>[머리글/바닥글] 탭 → 바닥글 편집 → 가운데에 쪽 번호 단추.</t>
        </is>
      </c>
      <c r="C65" s="23" t="inlineStr">
        <is>
          <t>&amp;[페이지] 가 들어갑니다</t>
        </is>
      </c>
    </row>
    <row r="66" ht="26" customHeight="1">
      <c r="A66" s="33" t="inlineStr">
        <is>
          <t>확인</t>
        </is>
      </c>
      <c r="B66" s="34" t="inlineStr">
        <is>
          <t>이렇게 되면 성공 — 2쪽, 3쪽에도 머리글이 나오고 아래 가운데에 쪽 번호가 찍힙니다</t>
        </is>
      </c>
    </row>
    <row r="68" ht="24" customHeight="1">
      <c r="A68" s="29" t="inlineStr">
        <is>
          <t xml:space="preserve">  미션 9 · 틀 고정</t>
        </is>
      </c>
    </row>
    <row r="69" ht="20" customHeight="1">
      <c r="A69" s="30" t="inlineStr">
        <is>
          <t>어디서</t>
        </is>
      </c>
      <c r="B69" s="31" t="inlineStr">
        <is>
          <t>[인쇄연습] 보기 탭</t>
        </is>
      </c>
    </row>
    <row r="70" ht="28" customHeight="1">
      <c r="A70" s="32" t="inlineStr">
        <is>
          <t>1단계</t>
        </is>
      </c>
      <c r="B70" s="19" t="inlineStr">
        <is>
          <t>A4 를 클릭합니다.</t>
        </is>
      </c>
      <c r="C70" s="23" t="inlineStr">
        <is>
          <t>★ 클릭한 칸의 위쪽과 왼쪽이 고정됩니다</t>
        </is>
      </c>
    </row>
    <row r="71" ht="28" customHeight="1">
      <c r="A71" s="32" t="inlineStr">
        <is>
          <t>2단계</t>
        </is>
      </c>
      <c r="B71" s="19" t="inlineStr">
        <is>
          <t>보기 → 틀 고정 → [틀 고정].</t>
        </is>
      </c>
      <c r="C71" s="23" t="inlineStr"/>
    </row>
    <row r="72" ht="28" customHeight="1">
      <c r="A72" s="32" t="inlineStr">
        <is>
          <t>3단계</t>
        </is>
      </c>
      <c r="B72" s="19" t="inlineStr">
        <is>
          <t>아래로 스크롤해 머리글이 남아 있는지 봅니다.</t>
        </is>
      </c>
      <c r="C72" s="23" t="inlineStr"/>
    </row>
    <row r="73" ht="28" customHeight="1">
      <c r="A73" s="32" t="inlineStr">
        <is>
          <t>4단계</t>
        </is>
      </c>
      <c r="B73" s="19" t="inlineStr">
        <is>
          <t>A열까지 같이 붙잡고 싶으면 B4 를 클릭한 뒤 틀 고정.</t>
        </is>
      </c>
      <c r="C73" s="23" t="inlineStr"/>
    </row>
    <row r="74" ht="26" customHeight="1">
      <c r="A74" s="33" t="inlineStr">
        <is>
          <t>확인</t>
        </is>
      </c>
      <c r="B74" s="34" t="inlineStr">
        <is>
          <t>이렇게 되면 성공 — 스크롤해도 3행 머리글이 화면에 남습니다</t>
        </is>
      </c>
    </row>
    <row r="76" ht="24" customHeight="1">
      <c r="A76" s="29" t="inlineStr">
        <is>
          <t xml:space="preserve">  미션 10 · 매크로 기록하고 단추에 연결하기</t>
        </is>
      </c>
    </row>
    <row r="77" ht="20" customHeight="1">
      <c r="A77" s="30" t="inlineStr">
        <is>
          <t>어디서</t>
        </is>
      </c>
      <c r="B77" s="31" t="inlineStr">
        <is>
          <t>[월별실적] 개발 도구 탭</t>
        </is>
      </c>
    </row>
    <row r="78" ht="28" customHeight="1">
      <c r="A78" s="32" t="inlineStr">
        <is>
          <t>1단계</t>
        </is>
      </c>
      <c r="B78" s="19" t="inlineStr">
        <is>
          <t>파일 → 옵션 → 리본 사용자 지정 → [개발 도구] 체크.</t>
        </is>
      </c>
      <c r="C78" s="23" t="inlineStr">
        <is>
          <t>리본에 개발 도구 탭이 생깁니다</t>
        </is>
      </c>
    </row>
    <row r="79" ht="28" customHeight="1">
      <c r="A79" s="32" t="inlineStr">
        <is>
          <t>2단계</t>
        </is>
      </c>
      <c r="B79" s="19" t="inlineStr">
        <is>
          <t>개발 도구 → [매크로 기록] → 이름에  서식맞추기  → 확인.</t>
        </is>
      </c>
      <c r="C79" s="23" t="inlineStr">
        <is>
          <t>★ 이제부터 하는 동작이 모두 기록됩니다</t>
        </is>
      </c>
    </row>
    <row r="80" ht="28" customHeight="1">
      <c r="A80" s="32" t="inlineStr">
        <is>
          <t>3단계</t>
        </is>
      </c>
      <c r="B80" s="19" t="inlineStr">
        <is>
          <t>A3:F3 을 잡고 파란 채우기 + 흰 글씨 + 굵게 를 줍니다.</t>
        </is>
      </c>
      <c r="C80" s="23" t="inlineStr">
        <is>
          <t>천천히 해도 됩니다. 시간은 기록되지 않습니다</t>
        </is>
      </c>
    </row>
    <row r="81" ht="28" customHeight="1">
      <c r="A81" s="32" t="inlineStr">
        <is>
          <t>4단계</t>
        </is>
      </c>
      <c r="B81" s="19" t="inlineStr">
        <is>
          <t>개발 도구 → [기록 중지].</t>
        </is>
      </c>
      <c r="C81" s="23" t="inlineStr"/>
    </row>
    <row r="82" ht="28" customHeight="1">
      <c r="A82" s="32" t="inlineStr">
        <is>
          <t>5단계</t>
        </is>
      </c>
      <c r="B82" s="19" t="inlineStr">
        <is>
          <t>개발 도구 → 삽입 → 양식 컨트롤의 [단추] 를 시트에 그립니다.</t>
        </is>
      </c>
      <c r="C82" s="23" t="inlineStr">
        <is>
          <t>그리자마자 매크로 지정 창이 뜹니다</t>
        </is>
      </c>
    </row>
    <row r="83" ht="28" customHeight="1">
      <c r="A83" s="32" t="inlineStr">
        <is>
          <t>6단계</t>
        </is>
      </c>
      <c r="B83" s="19" t="inlineStr">
        <is>
          <t>'서식맞추기' 를 고르고 확인. 단추 글자는 오른쪽 클릭 → 텍스트 편집.</t>
        </is>
      </c>
      <c r="C83" s="23" t="inlineStr"/>
    </row>
    <row r="84" ht="28" customHeight="1">
      <c r="A84" s="32" t="inlineStr">
        <is>
          <t>7단계</t>
        </is>
      </c>
      <c r="B84" s="19" t="inlineStr">
        <is>
          <t>파일 → 다른 이름으로 저장 → 형식을 [Excel 매크로 사용 통합 문서 (*.xlsm)] 로.</t>
        </is>
      </c>
      <c r="C84" s="23" t="inlineStr">
        <is>
          <t>★ 이걸 안 하면 매크로가 사라집니다</t>
        </is>
      </c>
    </row>
    <row r="85" ht="26" customHeight="1">
      <c r="A85" s="33" t="inlineStr">
        <is>
          <t>확인</t>
        </is>
      </c>
      <c r="B85" s="34" t="inlineStr">
        <is>
          <t>이렇게 되면 성공 — 머리글 서식을 지운 뒤 단추를 누르면 서식이 다시 입혀집니다</t>
        </is>
      </c>
    </row>
  </sheetData>
  <mergeCells count="32">
    <mergeCell ref="B66:C66"/>
    <mergeCell ref="B18:C18"/>
    <mergeCell ref="A12:C12"/>
    <mergeCell ref="A2:C2"/>
    <mergeCell ref="B58:C58"/>
    <mergeCell ref="B77:C77"/>
    <mergeCell ref="B21:C21"/>
    <mergeCell ref="A76:C76"/>
    <mergeCell ref="B42:C42"/>
    <mergeCell ref="B61:C61"/>
    <mergeCell ref="A4:C4"/>
    <mergeCell ref="A20:C20"/>
    <mergeCell ref="B53:C53"/>
    <mergeCell ref="A52:C52"/>
    <mergeCell ref="B13:C13"/>
    <mergeCell ref="A28:C28"/>
    <mergeCell ref="B69:C69"/>
    <mergeCell ref="A68:C68"/>
    <mergeCell ref="B29:C29"/>
    <mergeCell ref="A44:C44"/>
    <mergeCell ref="B34:C34"/>
    <mergeCell ref="B37:C37"/>
    <mergeCell ref="B10:C10"/>
    <mergeCell ref="B74:C74"/>
    <mergeCell ref="A60:C60"/>
    <mergeCell ref="A36:C36"/>
    <mergeCell ref="A1:C1"/>
    <mergeCell ref="B5:C5"/>
    <mergeCell ref="B45:C45"/>
    <mergeCell ref="B85:C85"/>
    <mergeCell ref="B50:C50"/>
    <mergeCell ref="B26:C26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14" t="inlineStr">
        <is>
          <t>2급 ④ 기타작업 — 계산 문제 정답</t>
        </is>
      </c>
    </row>
    <row r="2" ht="30" customHeight="1">
      <c r="A2" s="13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35" t="inlineStr">
        <is>
          <t xml:space="preserve">  차트에 넣을 값 4개</t>
        </is>
      </c>
    </row>
    <row r="5" ht="24" customHeight="1">
      <c r="A5" s="6" t="inlineStr">
        <is>
          <t>번호</t>
        </is>
      </c>
      <c r="B5" s="6" t="inlineStr">
        <is>
          <t>넣을 칸</t>
        </is>
      </c>
      <c r="C5" s="6" t="inlineStr">
        <is>
          <t>무엇을 구하나</t>
        </is>
      </c>
      <c r="D5" s="6" t="inlineStr">
        <is>
          <t>정답 수식</t>
        </is>
      </c>
      <c r="E5" s="6" t="inlineStr">
        <is>
          <t>정답값</t>
        </is>
      </c>
      <c r="F5" s="6" t="inlineStr">
        <is>
          <t>왜 그런가 · 자주 하는 실수</t>
        </is>
      </c>
    </row>
    <row r="6" ht="30" customHeight="1">
      <c r="A6" s="7" t="n">
        <v>1</v>
      </c>
      <c r="B6" s="36" t="inlineStr">
        <is>
          <t>월별실적 E23</t>
        </is>
      </c>
      <c r="C6" s="37" t="inlineStr">
        <is>
          <t>한 해 생산수량[C4:C15] 의 합계.</t>
        </is>
      </c>
      <c r="D6" s="38" t="inlineStr">
        <is>
          <t>=SUM(C4:C15)</t>
        </is>
      </c>
      <c r="E6" s="39">
        <f>'월별실적'!AB23</f>
        <v/>
      </c>
      <c r="F6" s="37" t="inlineStr"/>
    </row>
    <row r="7" ht="30" customHeight="1">
      <c r="A7" s="40" t="n">
        <v>2</v>
      </c>
      <c r="B7" s="41" t="inlineStr">
        <is>
          <t>월별실적 E24</t>
        </is>
      </c>
      <c r="C7" s="42" t="inlineStr">
        <is>
          <t>생산수량이 가장 많았던 달의 수량.</t>
        </is>
      </c>
      <c r="D7" s="43" t="inlineStr">
        <is>
          <t>=MAX(C4:C15)</t>
        </is>
      </c>
      <c r="E7" s="44">
        <f>'월별실적'!AB24</f>
        <v/>
      </c>
      <c r="F7" s="42" t="inlineStr"/>
    </row>
    <row r="8" ht="30" customHeight="1">
      <c r="A8" s="7" t="n">
        <v>3</v>
      </c>
      <c r="B8" s="36" t="inlineStr">
        <is>
          <t>월별실적 E25</t>
        </is>
      </c>
      <c r="C8" s="37" t="inlineStr">
        <is>
          <t>생산수량이 가장 많았던 달의 이름. (예: 11월)</t>
        </is>
      </c>
      <c r="D8" s="38" t="inlineStr">
        <is>
          <t>=INDEX(A4:A15,MATCH(MAX(C4:C15),C4:C15,0))</t>
        </is>
      </c>
      <c r="E8" s="39">
        <f>'월별실적'!AB25</f>
        <v/>
      </c>
      <c r="F8" s="37" t="inlineStr">
        <is>
          <t>차트 제목이나 설명에 쓸 값입니다</t>
        </is>
      </c>
    </row>
    <row r="9" ht="30" customHeight="1">
      <c r="A9" s="40" t="n">
        <v>4</v>
      </c>
      <c r="B9" s="41" t="inlineStr">
        <is>
          <t>월별실적 E26</t>
        </is>
      </c>
      <c r="C9" s="42" t="inlineStr">
        <is>
          <t>계획수량[B4:B15] 을 넘긴 달의 수.</t>
        </is>
      </c>
      <c r="D9" s="43" t="inlineStr">
        <is>
          <t>=SUMPRODUCT(--(C4:C15&gt;B4:B15))</t>
        </is>
      </c>
      <c r="E9" s="44">
        <f>'월별실적'!AB26</f>
        <v/>
      </c>
      <c r="F9" s="42" t="inlineStr">
        <is>
          <t>두 열을 줄마다 견줄 때는 SUMPRODUCT 를 씁니다</t>
        </is>
      </c>
    </row>
  </sheetData>
  <mergeCells count="3">
    <mergeCell ref="A2:F2"/>
    <mergeCell ref="A1:F1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2026-09-28T00:40:35Z</dcterms:created>
  <dcterms:modified xmlns:dcterms="http://purl.org/dc/terms/" xmlns:xsi="http://www.w3.org/2001/XMLSchema-instance" xsi:type="dcterms:W3CDTF">2026-09-28T00:40:35Z</dcterms:modified>
</cp:coreProperties>
</file>