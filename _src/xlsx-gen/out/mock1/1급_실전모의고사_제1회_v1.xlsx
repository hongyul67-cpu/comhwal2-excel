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문제지" sheetId="2" state="visible" r:id="rId2"/>
    <sheet xmlns:r="http://schemas.openxmlformats.org/officeDocument/2006/relationships" name="기본작업-1" sheetId="3" state="visible" r:id="rId3"/>
    <sheet xmlns:r="http://schemas.openxmlformats.org/officeDocument/2006/relationships" name="기본작업-2" sheetId="4" state="visible" r:id="rId4"/>
    <sheet xmlns:r="http://schemas.openxmlformats.org/officeDocument/2006/relationships" name="계산작업" sheetId="5" state="visible" r:id="rId5"/>
    <sheet xmlns:r="http://schemas.openxmlformats.org/officeDocument/2006/relationships" name="분석작업-1" sheetId="6" state="visible" r:id="rId6"/>
    <sheet xmlns:r="http://schemas.openxmlformats.org/officeDocument/2006/relationships" name="분석작업-2" sheetId="7" state="visible" r:id="rId7"/>
    <sheet xmlns:r="http://schemas.openxmlformats.org/officeDocument/2006/relationships" name="기타작업-1" sheetId="8" state="visible" r:id="rId8"/>
    <sheet xmlns:r="http://schemas.openxmlformats.org/officeDocument/2006/relationships" name="기타작업-2" sheetId="9" state="visible" r:id="rId9"/>
    <sheet xmlns:r="http://schemas.openxmlformats.org/officeDocument/2006/relationships" name="기타작업-3" sheetId="10" state="visible" r:id="rId10"/>
    <sheet xmlns:r="http://schemas.openxmlformats.org/officeDocument/2006/relationships" name="채점표" sheetId="11" state="visible" r:id="rId11"/>
    <sheet xmlns:r="http://schemas.openxmlformats.org/officeDocument/2006/relationships" name="정답·해설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  <color rgb="001F3864"/>
      <sz val="11"/>
    </font>
    <font>
      <i val="1"/>
      <color rgb="00A6A6A6"/>
    </font>
    <font>
      <b val="1"/>
    </font>
    <font>
      <b val="1"/>
      <color rgb="001F3864"/>
      <sz val="13"/>
    </font>
    <font>
      <b val="1"/>
      <color rgb="001F3864"/>
      <sz val="16"/>
    </font>
    <font>
      <color rgb="00806000"/>
      <sz val="10"/>
    </font>
    <font>
      <b val="1"/>
      <color rgb="00FFFFFF"/>
      <sz val="12"/>
    </font>
    <font>
      <b val="1"/>
      <color rgb="002E5C8A"/>
    </font>
    <font>
      <b val="1"/>
      <color rgb="00FFFFFF"/>
      <sz val="11"/>
    </font>
    <font>
      <color rgb="007F7F7F"/>
      <sz val="9.5"/>
    </font>
    <font>
      <b val="1"/>
      <sz val="12"/>
    </font>
    <font>
      <name val="Consolas"/>
      <b val="1"/>
      <color rgb="001F4E79"/>
      <sz val="10"/>
    </font>
    <font>
      <sz val="11"/>
    </font>
    <font>
      <b val="1"/>
      <color rgb="002E5C8A"/>
      <sz val="12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FFF8E1"/>
      </patternFill>
    </fill>
    <fill>
      <patternFill patternType="solid">
        <fgColor rgb="00E7EE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39">
    <xf numFmtId="0" fontId="0" fillId="0" borderId="0" pivotButton="0" quotePrefix="0" xfId="0"/>
    <xf numFmtId="0" fontId="7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9" fontId="4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vertical="center"/>
    </xf>
    <xf numFmtId="3" fontId="0" fillId="0" borderId="1" pivotButton="0" quotePrefix="0" xfId="0"/>
    <xf numFmtId="3" fontId="5" fillId="0" borderId="1" applyAlignment="1" pivotButton="0" quotePrefix="0" xfId="0">
      <alignment vertical="center"/>
    </xf>
    <xf numFmtId="3" fontId="0" fillId="3" borderId="1" pivotButton="0" quotePrefix="0" xfId="0"/>
    <xf numFmtId="0" fontId="6" fillId="0" borderId="0" pivotButton="0" quotePrefix="0" xfId="0"/>
    <xf numFmtId="3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3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'기타작업-1'!B3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'기타작업-1'!$A$4:$A$9</f>
            </numRef>
          </cat>
          <val>
            <numRef>
              <f>'기타작업-1'!$B$4:$B$9</f>
            </numRef>
          </val>
        </ser>
        <ser>
          <idx val="1"/>
          <order val="1"/>
          <tx>
            <strRef>
              <f>'기타작업-1'!C3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'기타작업-1'!$A$4:$A$9</f>
            </numRef>
          </cat>
          <val>
            <numRef>
              <f>'기타작업-1'!$C$4:$C$9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1급 실기 실전 모의고사 제1회 — 공정 품질</t>
        </is>
      </c>
    </row>
    <row r="3" ht="19" customHeight="1">
      <c r="B3" s="2" t="inlineStr">
        <is>
          <t>1급 스프레드시트 실무와 같은 시트 이름 · 같은 배점입니다. 시간 45분, 70점 이상이면 합격.</t>
        </is>
      </c>
    </row>
    <row r="4" ht="24" customHeight="1">
      <c r="B4" s="3" t="inlineStr">
        <is>
          <t>순서</t>
        </is>
      </c>
    </row>
    <row r="5" ht="19" customHeight="1">
      <c r="B5" s="2" t="inlineStr">
        <is>
          <t>① [문제지] 시트를 읽고 → 각 작업 시트에서 풉니다.</t>
        </is>
      </c>
    </row>
    <row r="6" ht="19" customHeight="1">
      <c r="B6" s="2" t="inlineStr">
        <is>
          <t>② 계산작업 노란 칸의 0 을 지우고 첫 칸에 수식 → 끝까지 끌어내리기. 배열 수식은 Ctrl + Shift + Enter.</t>
        </is>
      </c>
    </row>
    <row r="7" ht="19" customHeight="1">
      <c r="B7" s="2" t="inlineStr">
        <is>
          <t>③ 계산작업 5번은 사용자 정의 함수 — [개발 도구] → [Visual Basic] → 모듈에 Function 을 만들고 =fn…() 로 계산합니다.</t>
        </is>
      </c>
    </row>
    <row r="8" ht="19" customHeight="1">
      <c r="B8" s="2" t="inlineStr">
        <is>
          <t>④ 다 풀면 [채점표] — 자동 칸은 저절로, '스스로' 칸은 [확인 방법] 을 보고 O / X.</t>
        </is>
      </c>
    </row>
    <row r="9" ht="34" customHeight="1">
      <c r="B9" s="4" t="inlineStr">
        <is>
          <t>함수·매크로·VBA 가 들어가면 '다른 이름으로 저장' → Excel 매크로 사용 통합 문서(*.xlsm). 그냥 저장하면 코드가 사라집니다.</t>
        </is>
      </c>
    </row>
    <row r="10" ht="34" customHeight="1">
      <c r="B10" s="4" t="inlineStr">
        <is>
          <t>[개발 도구] 탭이 없으면 [파일] → [옵션] → [리본 사용자 지정] 에서 '개발 도구' 체크.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12" customWidth="1" min="3" max="3"/>
  </cols>
  <sheetData>
    <row r="1" ht="26" customHeight="1">
      <c r="A1" s="5" t="inlineStr">
        <is>
          <t>컴퓨터활용능력 1급 실기 · 스프레드시트 실무 · 실전 모의고사 제1회 (공정 품질)</t>
        </is>
      </c>
    </row>
    <row r="2" ht="30" customHeight="1">
      <c r="A2" s="6" t="inlineStr">
        <is>
          <t>시험 시간 45분 · 100점 만점 · 70점 이상 합격.  시작 [      :      ]  끝 [      :      ]      사용자 정의 함수·매크로·VBA 를 넣었으면 Excel 매크로 사용 통합 문서(*.xlsm)로 저장하세요.</t>
        </is>
      </c>
    </row>
    <row r="4" ht="22" customHeight="1">
      <c r="A4" s="7" t="inlineStr">
        <is>
          <t xml:space="preserve">  기본작업-1  ·  10점</t>
        </is>
      </c>
    </row>
    <row r="5" ht="48" customHeight="1">
      <c r="B5" s="8" t="inlineStr">
        <is>
          <t>1.</t>
        </is>
      </c>
      <c r="C5" s="9" t="inlineStr">
        <is>
          <t>[A3:G15] 영역에서 라인이 'A' 이면서 불량률이 2% 이상인 행의 '로트번호', '제품', '불량수', '불량률' 열만 고급 필터로 추출하시오.
· 조건은 [A17:B18] 영역에 입력  · 결과는 [A20] 셀부터 표시</t>
        </is>
      </c>
    </row>
    <row r="6" ht="48" customHeight="1">
      <c r="B6" s="8" t="inlineStr">
        <is>
          <t>2.</t>
        </is>
      </c>
      <c r="C6" s="9" t="inlineStr">
        <is>
          <t>[A4:G15] 영역에서 불량수가 불량수 전체 평균 이상인 행 전체에 채우기 색 '노랑' 을 적용하시오.
· AVERAGE 함수를 사용한 수식으로 조건 지정  · 규칙 유형 '수식을 사용하여 서식을 지정할 셀 결정'</t>
        </is>
      </c>
    </row>
    <row r="7" ht="22" customHeight="1">
      <c r="A7" s="7" t="inlineStr">
        <is>
          <t xml:space="preserve">  기본작업-2  ·  5점</t>
        </is>
      </c>
    </row>
    <row r="8" ht="48" customHeight="1">
      <c r="B8" s="8" t="inlineStr">
        <is>
          <t>3.</t>
        </is>
      </c>
      <c r="C8" s="9" t="inlineStr">
        <is>
          <t>[기본작업-2] 시트를 다음과 같이 인쇄되게 설정하시오.
· 용지 방향 가로, 페이지 가운데(가로) 맞춤  · 3행이 매 페이지 위에 반복  · 바닥글 가운데에 '1 / 3' 처럼 '현재 쪽 / 전체 쪽'</t>
        </is>
      </c>
    </row>
    <row r="9" ht="22" customHeight="1">
      <c r="A9" s="7" t="inlineStr">
        <is>
          <t xml:space="preserve">  계산작업  ·  30점 (각 6점)</t>
        </is>
      </c>
    </row>
    <row r="10" ht="32" customHeight="1">
      <c r="B10" s="8" t="inlineStr">
        <is>
          <t>1.</t>
        </is>
      </c>
      <c r="C10" s="9" t="inlineStr">
        <is>
          <t>[표1]에서 라인[B3:B10]이 G열의 라인과 같은 것의 불량수[D3:D10] 합계를 불량 합계[H3:H5]에 구하시오. (SUM 함수를 이용한 배열 수식) → [H3:H5]  ※ Ctrl+Shift+Enter</t>
        </is>
      </c>
    </row>
    <row r="11" ht="32" customHeight="1">
      <c r="B11" s="8" t="inlineStr">
        <is>
          <t>2.</t>
        </is>
      </c>
      <c r="C11" s="9" t="inlineStr">
        <is>
          <t>[표2]에서 검사수[B15:B22]가 100 이상이면서 불량률[D15:D22]이 2% 이하이면 "합격", 그 외는 "재검" 을 판정[E15:E22]에 표시하시오. → [E15:E22]</t>
        </is>
      </c>
    </row>
    <row r="12" ht="32" customHeight="1">
      <c r="B12" s="8" t="inlineStr">
        <is>
          <t>3.</t>
        </is>
      </c>
      <c r="C12" s="9" t="inlineStr">
        <is>
          <t>[표3]에서 라인[F27:F30]과 월[G27:G30]로 왼쪽 가동률 표에서 값을 찾아 가동률[H27:H30]에 표시하시오. (INDEX, MATCH 함수) → [H27:H30]</t>
        </is>
      </c>
    </row>
    <row r="13" ht="32" customHeight="1">
      <c r="B13" s="8" t="inlineStr">
        <is>
          <t>4.</t>
        </is>
      </c>
      <c r="C13" s="9" t="inlineStr">
        <is>
          <t>[표4]에서 라인[A35:A42]과 제품[B35:B42]이 D·E열의 라인·제품과 같은 건수를 구해 "3건" 처럼 건수[F35:F37]에 표시하시오. → [F35:F37]</t>
        </is>
      </c>
    </row>
    <row r="14" ht="64" customHeight="1">
      <c r="B14" s="8" t="inlineStr">
        <is>
          <t>5.</t>
        </is>
      </c>
      <c r="C14" s="9" t="inlineStr">
        <is>
          <t>[표5]에서 사용자 정의 함수 'fn등급' 을 작성하여 등급[C47:C52]을 표시하시오.
   fn등급은 불량률을 인수로 받아, 불량률이 1% 이하이면 "우수", 3% 이하이면 "보통", 그 외는 "관리" 를 돌려준다.
   (IF 문 사용 · Public Function fn등급(불량률)) → [C47:C52]</t>
        </is>
      </c>
    </row>
    <row r="15" ht="22" customHeight="1">
      <c r="A15" s="7" t="inlineStr">
        <is>
          <t xml:space="preserve">  분석작업-1  ·  10점</t>
        </is>
      </c>
    </row>
    <row r="16" ht="64" customHeight="1">
      <c r="B16" s="8" t="inlineStr"/>
      <c r="C16" s="9" t="inlineStr">
        <is>
          <t>[분석작업-1] 시트의 표로 피벗 테이블을 만드시오.
· 행: 제품  · 열: 라인  · 값: 불량수의 합계, 검사수의 합계  · 위치 [J3]
· 값 필드는 열 방향 대신 행 방향(Σ 값 을 행으로)  · 보고서 레이아웃 '개요 형식'</t>
        </is>
      </c>
    </row>
    <row r="17" ht="22" customHeight="1">
      <c r="A17" s="7" t="inlineStr">
        <is>
          <t xml:space="preserve">  분석작업-2  ·  10점</t>
        </is>
      </c>
    </row>
    <row r="18" ht="48" customHeight="1">
      <c r="B18" s="8" t="inlineStr"/>
      <c r="C18" s="9" t="inlineStr">
        <is>
          <t>[분석작업-2] 시트에서 [데이터 표] 기능으로 판매 단가[C3]와 판매량[C4]의 변화에 따른 이익을 [C11:F15] 영역에 계산하시오.
· 행 입력 셀 C3 (단가 → 가로), 열 입력 셀 C4 (판매량 → 세로)</t>
        </is>
      </c>
    </row>
    <row r="19" ht="22" customHeight="1">
      <c r="A19" s="7" t="inlineStr">
        <is>
          <t xml:space="preserve">  기타작업-1  ·  10점 (각 2점)</t>
        </is>
      </c>
    </row>
    <row r="20" ht="18" customHeight="1">
      <c r="B20" s="8" t="inlineStr"/>
      <c r="C20" s="9" t="inlineStr">
        <is>
          <t>[기타작업-1] 시트의 차트(묶은 세로 막대 · 검사수·불량수)를 다음과 같이 고치시오. (각 2점)</t>
        </is>
      </c>
    </row>
    <row r="21" ht="18" customHeight="1">
      <c r="B21" s="8" t="inlineStr">
        <is>
          <t>1)</t>
        </is>
      </c>
      <c r="C21" s="9" t="inlineStr">
        <is>
          <t>'불량수' 계열을 삭제하고 '불량률' 계열을 추가하시오</t>
        </is>
      </c>
    </row>
    <row r="22" ht="18" customHeight="1">
      <c r="B22" s="8" t="inlineStr">
        <is>
          <t>2)</t>
        </is>
      </c>
      <c r="C22" s="9" t="inlineStr">
        <is>
          <t>'불량률' 계열을 '표식이 있는 꺾은선형' 으로, 보조 축에 표시하시오</t>
        </is>
      </c>
    </row>
    <row r="23" ht="18" customHeight="1">
      <c r="B23" s="8" t="inlineStr">
        <is>
          <t>3)</t>
        </is>
      </c>
      <c r="C23" s="9" t="inlineStr">
        <is>
          <t>보조 세로(값) 축의 최소값 0, 최대값 0.03, 표시 형식 '백분율' 소수 1자리</t>
        </is>
      </c>
    </row>
    <row r="24" ht="18" customHeight="1">
      <c r="B24" s="8" t="inlineStr">
        <is>
          <t>4)</t>
        </is>
      </c>
      <c r="C24" s="9" t="inlineStr">
        <is>
          <t>차트 제목을 셀 [A1] 과 연결하고, 차트 스타일 '스타일 6' 을 적용하시오</t>
        </is>
      </c>
    </row>
    <row r="25" ht="18" customHeight="1">
      <c r="B25" s="8" t="inlineStr">
        <is>
          <t>5)</t>
        </is>
      </c>
      <c r="C25" s="9" t="inlineStr">
        <is>
          <t>'불량률' 계열의 '9월' 요소에만 데이터 레이블 '값' 을 '위쪽' 에 표시하시오</t>
        </is>
      </c>
    </row>
    <row r="26" ht="22" customHeight="1">
      <c r="A26" s="7" t="inlineStr">
        <is>
          <t xml:space="preserve">  기타작업-2  ·  10점 (각 5점)</t>
        </is>
      </c>
    </row>
    <row r="27" ht="18" customHeight="1">
      <c r="B27" s="8" t="inlineStr"/>
      <c r="C27" s="9" t="inlineStr">
        <is>
          <t>[기타작업-2] 시트에서 다음 두 매크로를 만들고 연결하시오. (각 5점 · 저장은 .xlsm)</t>
        </is>
      </c>
    </row>
    <row r="28" ht="18" customHeight="1">
      <c r="B28" s="8" t="inlineStr">
        <is>
          <t>1)</t>
        </is>
      </c>
      <c r="C28" s="9" t="inlineStr">
        <is>
          <t>[D4:D8] 에 불량률(불량수÷검사수)을 구하는 '불량률' 매크로 — [F3:G4] 영역에 '단추'(양식 컨트롤, 텍스트 '불량률')를 그려 연결</t>
        </is>
      </c>
    </row>
    <row r="29" ht="18" customHeight="1">
      <c r="B29" s="8" t="inlineStr">
        <is>
          <t>2)</t>
        </is>
      </c>
      <c r="C29" s="9" t="inlineStr">
        <is>
          <t>[D4:D8] 에 표시 형식 '백분율' 소수 1자리를 적용하는 '서식' 매크로 — [F6:G7] 영역에 도형 '사각형: 둥근 모서리'(텍스트 '서식')를 그려 연결</t>
        </is>
      </c>
    </row>
    <row r="30" ht="22" customHeight="1">
      <c r="A30" s="7" t="inlineStr">
        <is>
          <t xml:space="preserve">  기타작업-3  ·  15점 (각 5점)</t>
        </is>
      </c>
    </row>
    <row r="31" ht="48" customHeight="1">
      <c r="B31" s="8" t="inlineStr"/>
      <c r="C31" s="9" t="inlineStr">
        <is>
          <t>[기타작업-3] 시트에서 다음과 같이 프로그래밍하시오. (각 5점)
※ 실제 시험은 미리 만든 사용자 폼(입력 폼)을 쓰지만, 이 연습 파일에는 폼을 넣을 수 없어 단추·InputBox·이벤트로 같은 문법을 연습합니다.</t>
        </is>
      </c>
    </row>
    <row r="32" ht="32" customHeight="1">
      <c r="B32" s="8" t="inlineStr">
        <is>
          <t>1)</t>
        </is>
      </c>
      <c r="C32" s="9" t="inlineStr">
        <is>
          <t>[H3] 위치에 단추(텍스트 '입력')를 만들고, 누르면 InputBox 로 라인·제품·검사수·불량수를 차례로 받아 표의 마지막 행 다음 줄에 입력하는 '검사입력' 프로시저를 연결하시오. (검사일은 Date 로 오늘 날짜)</t>
        </is>
      </c>
    </row>
    <row r="33" ht="18" customHeight="1">
      <c r="B33" s="8" t="inlineStr">
        <is>
          <t>2)</t>
        </is>
      </c>
      <c r="C33" s="9" t="inlineStr">
        <is>
          <t>[기타작업-3] 시트를 선택(Activate)할 때마다 [H1] 셀에 '오늘 날짜: 2026-09-28' 처럼 표시되는 이벤트 프로시저를 작성하시오.</t>
        </is>
      </c>
    </row>
    <row r="34" ht="18" customHeight="1">
      <c r="B34" s="8" t="inlineStr">
        <is>
          <t>3)</t>
        </is>
      </c>
      <c r="C34" s="9" t="inlineStr">
        <is>
          <t>[H6] 위치에 단추(텍스트 '종료')를 만들고, 누르면 '검사 기록을 마칩니다.' 메시지를 보여 준 뒤 통합 문서를 저장하는 '종료' 프로시저를 연결하시오.</t>
        </is>
      </c>
    </row>
  </sheetData>
  <mergeCells count="10">
    <mergeCell ref="A19:C19"/>
    <mergeCell ref="A1:C1"/>
    <mergeCell ref="A17:C17"/>
    <mergeCell ref="A9:C9"/>
    <mergeCell ref="A7:C7"/>
    <mergeCell ref="A30:C30"/>
    <mergeCell ref="A15:C15"/>
    <mergeCell ref="A4:C4"/>
    <mergeCell ref="A26:C26"/>
    <mergeCell ref="A2:C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0" customWidth="1" min="5" max="5"/>
    <col width="13" customWidth="1" min="6" max="6"/>
    <col width="10" customWidth="1" min="7" max="7"/>
    <col width="10" customWidth="1" min="8" max="8"/>
  </cols>
  <sheetData>
    <row r="1" ht="26" customHeight="1">
      <c r="A1" s="10" t="inlineStr">
        <is>
          <t>기본작업-1</t>
        </is>
      </c>
    </row>
    <row r="3">
      <c r="A3" s="11" t="inlineStr">
        <is>
          <t>검사일</t>
        </is>
      </c>
      <c r="B3" s="11" t="inlineStr">
        <is>
          <t>로트번호</t>
        </is>
      </c>
      <c r="C3" s="11" t="inlineStr">
        <is>
          <t>라인</t>
        </is>
      </c>
      <c r="D3" s="11" t="inlineStr">
        <is>
          <t>제품</t>
        </is>
      </c>
      <c r="E3" s="11" t="inlineStr">
        <is>
          <t>검사수</t>
        </is>
      </c>
      <c r="F3" s="11" t="inlineStr">
        <is>
          <t>불량수</t>
        </is>
      </c>
      <c r="G3" s="11" t="inlineStr">
        <is>
          <t>불량률</t>
        </is>
      </c>
    </row>
    <row r="4">
      <c r="A4" s="12" t="n">
        <v>46266</v>
      </c>
      <c r="B4" s="13" t="inlineStr">
        <is>
          <t>L0901-A</t>
        </is>
      </c>
      <c r="C4" s="13" t="inlineStr">
        <is>
          <t>A</t>
        </is>
      </c>
      <c r="D4" s="13" t="inlineStr">
        <is>
          <t>감속기어</t>
        </is>
      </c>
      <c r="E4" s="13" t="n">
        <v>120</v>
      </c>
      <c r="F4" s="13" t="n">
        <v>3</v>
      </c>
      <c r="G4" s="14" t="n">
        <v>0.025</v>
      </c>
    </row>
    <row r="5">
      <c r="A5" s="12" t="n">
        <v>46266</v>
      </c>
      <c r="B5" s="13" t="inlineStr">
        <is>
          <t>L0901-B</t>
        </is>
      </c>
      <c r="C5" s="13" t="inlineStr">
        <is>
          <t>B</t>
        </is>
      </c>
      <c r="D5" s="13" t="inlineStr">
        <is>
          <t>구동축</t>
        </is>
      </c>
      <c r="E5" s="13" t="n">
        <v>80</v>
      </c>
      <c r="F5" s="13" t="n">
        <v>1</v>
      </c>
      <c r="G5" s="14" t="n">
        <v>0.0125</v>
      </c>
    </row>
    <row r="6">
      <c r="A6" s="12" t="n">
        <v>46267</v>
      </c>
      <c r="B6" s="13" t="inlineStr">
        <is>
          <t>L0902-A</t>
        </is>
      </c>
      <c r="C6" s="13" t="inlineStr">
        <is>
          <t>A</t>
        </is>
      </c>
      <c r="D6" s="13" t="inlineStr">
        <is>
          <t>밸브블록</t>
        </is>
      </c>
      <c r="E6" s="13" t="n">
        <v>150</v>
      </c>
      <c r="F6" s="13" t="n">
        <v>6</v>
      </c>
      <c r="G6" s="14" t="n">
        <v>0.04</v>
      </c>
    </row>
    <row r="7">
      <c r="A7" s="12" t="n">
        <v>46267</v>
      </c>
      <c r="B7" s="13" t="inlineStr">
        <is>
          <t>L0902-C</t>
        </is>
      </c>
      <c r="C7" s="13" t="inlineStr">
        <is>
          <t>C</t>
        </is>
      </c>
      <c r="D7" s="13" t="inlineStr">
        <is>
          <t>감속기어</t>
        </is>
      </c>
      <c r="E7" s="13" t="n">
        <v>90</v>
      </c>
      <c r="F7" s="13" t="n">
        <v>4</v>
      </c>
      <c r="G7" s="14" t="n">
        <v>0.0444</v>
      </c>
    </row>
    <row r="8">
      <c r="A8" s="12" t="n">
        <v>46268</v>
      </c>
      <c r="B8" s="13" t="inlineStr">
        <is>
          <t>L0903-B</t>
        </is>
      </c>
      <c r="C8" s="13" t="inlineStr">
        <is>
          <t>B</t>
        </is>
      </c>
      <c r="D8" s="13" t="inlineStr">
        <is>
          <t>커플링</t>
        </is>
      </c>
      <c r="E8" s="13" t="n">
        <v>200</v>
      </c>
      <c r="F8" s="13" t="n">
        <v>2</v>
      </c>
      <c r="G8" s="14" t="n">
        <v>0.01</v>
      </c>
    </row>
    <row r="9">
      <c r="A9" s="12" t="n">
        <v>46268</v>
      </c>
      <c r="B9" s="13" t="inlineStr">
        <is>
          <t>L0903-A</t>
        </is>
      </c>
      <c r="C9" s="13" t="inlineStr">
        <is>
          <t>A</t>
        </is>
      </c>
      <c r="D9" s="13" t="inlineStr">
        <is>
          <t>구동축</t>
        </is>
      </c>
      <c r="E9" s="13" t="n">
        <v>100</v>
      </c>
      <c r="F9" s="13" t="n">
        <v>2</v>
      </c>
      <c r="G9" s="14" t="n">
        <v>0.02</v>
      </c>
    </row>
    <row r="10">
      <c r="A10" s="12" t="n">
        <v>46269</v>
      </c>
      <c r="B10" s="13" t="inlineStr">
        <is>
          <t>L0904-C</t>
        </is>
      </c>
      <c r="C10" s="13" t="inlineStr">
        <is>
          <t>C</t>
        </is>
      </c>
      <c r="D10" s="13" t="inlineStr">
        <is>
          <t>밸브블록</t>
        </is>
      </c>
      <c r="E10" s="13" t="n">
        <v>110</v>
      </c>
      <c r="F10" s="13" t="n">
        <v>1</v>
      </c>
      <c r="G10" s="14" t="n">
        <v>0.0091</v>
      </c>
    </row>
    <row r="11">
      <c r="A11" s="12" t="n">
        <v>46269</v>
      </c>
      <c r="B11" s="13" t="inlineStr">
        <is>
          <t>L0904-A</t>
        </is>
      </c>
      <c r="C11" s="13" t="inlineStr">
        <is>
          <t>A</t>
        </is>
      </c>
      <c r="D11" s="13" t="inlineStr">
        <is>
          <t>커플링</t>
        </is>
      </c>
      <c r="E11" s="13" t="n">
        <v>60</v>
      </c>
      <c r="F11" s="13" t="n">
        <v>3</v>
      </c>
      <c r="G11" s="14" t="n">
        <v>0.05</v>
      </c>
    </row>
    <row r="12">
      <c r="A12" s="12" t="n">
        <v>46272</v>
      </c>
      <c r="B12" s="13" t="inlineStr">
        <is>
          <t>L0907-B</t>
        </is>
      </c>
      <c r="C12" s="13" t="inlineStr">
        <is>
          <t>B</t>
        </is>
      </c>
      <c r="D12" s="13" t="inlineStr">
        <is>
          <t>감속기어</t>
        </is>
      </c>
      <c r="E12" s="13" t="n">
        <v>130</v>
      </c>
      <c r="F12" s="13" t="n">
        <v>5</v>
      </c>
      <c r="G12" s="14" t="n">
        <v>0.0385</v>
      </c>
    </row>
    <row r="13">
      <c r="A13" s="12" t="n">
        <v>46272</v>
      </c>
      <c r="B13" s="13" t="inlineStr">
        <is>
          <t>L0907-C</t>
        </is>
      </c>
      <c r="C13" s="13" t="inlineStr">
        <is>
          <t>C</t>
        </is>
      </c>
      <c r="D13" s="13" t="inlineStr">
        <is>
          <t>구동축</t>
        </is>
      </c>
      <c r="E13" s="13" t="n">
        <v>70</v>
      </c>
      <c r="F13" s="13" t="n">
        <v>0</v>
      </c>
      <c r="G13" s="14" t="n">
        <v>0</v>
      </c>
    </row>
    <row r="14">
      <c r="A14" s="12" t="n">
        <v>46273</v>
      </c>
      <c r="B14" s="13" t="inlineStr">
        <is>
          <t>L0908-A</t>
        </is>
      </c>
      <c r="C14" s="13" t="inlineStr">
        <is>
          <t>A</t>
        </is>
      </c>
      <c r="D14" s="13" t="inlineStr">
        <is>
          <t>감속기어</t>
        </is>
      </c>
      <c r="E14" s="13" t="n">
        <v>140</v>
      </c>
      <c r="F14" s="13" t="n">
        <v>1</v>
      </c>
      <c r="G14" s="14" t="n">
        <v>0.0071</v>
      </c>
    </row>
    <row r="15">
      <c r="A15" s="12" t="n">
        <v>46273</v>
      </c>
      <c r="B15" s="13" t="inlineStr">
        <is>
          <t>L0908-B</t>
        </is>
      </c>
      <c r="C15" s="13" t="inlineStr">
        <is>
          <t>B</t>
        </is>
      </c>
      <c r="D15" s="13" t="inlineStr">
        <is>
          <t>밸브블록</t>
        </is>
      </c>
      <c r="E15" s="13" t="n">
        <v>95</v>
      </c>
      <c r="F15" s="13" t="n">
        <v>3</v>
      </c>
      <c r="G15" s="14" t="n">
        <v>0.0316</v>
      </c>
    </row>
    <row r="20">
      <c r="A20" s="15" t="n"/>
      <c r="B20" s="15" t="n"/>
      <c r="C20" s="15" t="n"/>
      <c r="D20" s="15" t="n"/>
    </row>
  </sheetData>
  <mergeCells count="1">
    <mergeCell ref="A1:G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0" customWidth="1" min="5" max="5"/>
    <col width="13" customWidth="1" min="6" max="6"/>
  </cols>
  <sheetData>
    <row r="1" ht="26" customHeight="1">
      <c r="A1" s="10" t="inlineStr">
        <is>
          <t>기본작업-2 (페이지 레이아웃)</t>
        </is>
      </c>
    </row>
    <row r="3">
      <c r="A3" s="11" t="inlineStr">
        <is>
          <t>검사일</t>
        </is>
      </c>
      <c r="B3" s="11" t="inlineStr">
        <is>
          <t>로트번호</t>
        </is>
      </c>
      <c r="C3" s="11" t="inlineStr">
        <is>
          <t>라인</t>
        </is>
      </c>
      <c r="D3" s="11" t="inlineStr">
        <is>
          <t>제품</t>
        </is>
      </c>
      <c r="E3" s="11" t="inlineStr">
        <is>
          <t>검사수</t>
        </is>
      </c>
      <c r="F3" s="11" t="inlineStr">
        <is>
          <t>불량수</t>
        </is>
      </c>
    </row>
    <row r="4">
      <c r="A4" s="12" t="n">
        <v>46266</v>
      </c>
      <c r="B4" s="13" t="inlineStr">
        <is>
          <t>L0901-A</t>
        </is>
      </c>
      <c r="C4" s="13" t="inlineStr">
        <is>
          <t>A</t>
        </is>
      </c>
      <c r="D4" s="13" t="inlineStr">
        <is>
          <t>감속기어</t>
        </is>
      </c>
      <c r="E4" s="13" t="n">
        <v>120</v>
      </c>
      <c r="F4" s="13" t="n">
        <v>3</v>
      </c>
    </row>
    <row r="5">
      <c r="A5" s="12" t="n">
        <v>46266</v>
      </c>
      <c r="B5" s="13" t="inlineStr">
        <is>
          <t>L0901-B</t>
        </is>
      </c>
      <c r="C5" s="13" t="inlineStr">
        <is>
          <t>B</t>
        </is>
      </c>
      <c r="D5" s="13" t="inlineStr">
        <is>
          <t>구동축</t>
        </is>
      </c>
      <c r="E5" s="13" t="n">
        <v>80</v>
      </c>
      <c r="F5" s="13" t="n">
        <v>1</v>
      </c>
    </row>
    <row r="6">
      <c r="A6" s="12" t="n">
        <v>46267</v>
      </c>
      <c r="B6" s="13" t="inlineStr">
        <is>
          <t>L0902-A</t>
        </is>
      </c>
      <c r="C6" s="13" t="inlineStr">
        <is>
          <t>A</t>
        </is>
      </c>
      <c r="D6" s="13" t="inlineStr">
        <is>
          <t>밸브블록</t>
        </is>
      </c>
      <c r="E6" s="13" t="n">
        <v>150</v>
      </c>
      <c r="F6" s="13" t="n">
        <v>6</v>
      </c>
    </row>
    <row r="7">
      <c r="A7" s="12" t="n">
        <v>46267</v>
      </c>
      <c r="B7" s="13" t="inlineStr">
        <is>
          <t>L0902-C</t>
        </is>
      </c>
      <c r="C7" s="13" t="inlineStr">
        <is>
          <t>C</t>
        </is>
      </c>
      <c r="D7" s="13" t="inlineStr">
        <is>
          <t>감속기어</t>
        </is>
      </c>
      <c r="E7" s="13" t="n">
        <v>90</v>
      </c>
      <c r="F7" s="13" t="n">
        <v>4</v>
      </c>
    </row>
    <row r="8">
      <c r="A8" s="12" t="n">
        <v>46268</v>
      </c>
      <c r="B8" s="13" t="inlineStr">
        <is>
          <t>L0903-B</t>
        </is>
      </c>
      <c r="C8" s="13" t="inlineStr">
        <is>
          <t>B</t>
        </is>
      </c>
      <c r="D8" s="13" t="inlineStr">
        <is>
          <t>커플링</t>
        </is>
      </c>
      <c r="E8" s="13" t="n">
        <v>200</v>
      </c>
      <c r="F8" s="13" t="n">
        <v>2</v>
      </c>
    </row>
    <row r="9">
      <c r="A9" s="12" t="n">
        <v>46268</v>
      </c>
      <c r="B9" s="13" t="inlineStr">
        <is>
          <t>L0903-A</t>
        </is>
      </c>
      <c r="C9" s="13" t="inlineStr">
        <is>
          <t>A</t>
        </is>
      </c>
      <c r="D9" s="13" t="inlineStr">
        <is>
          <t>구동축</t>
        </is>
      </c>
      <c r="E9" s="13" t="n">
        <v>100</v>
      </c>
      <c r="F9" s="13" t="n">
        <v>2</v>
      </c>
    </row>
    <row r="10">
      <c r="A10" s="12" t="n">
        <v>46269</v>
      </c>
      <c r="B10" s="13" t="inlineStr">
        <is>
          <t>L0904-C</t>
        </is>
      </c>
      <c r="C10" s="13" t="inlineStr">
        <is>
          <t>C</t>
        </is>
      </c>
      <c r="D10" s="13" t="inlineStr">
        <is>
          <t>밸브블록</t>
        </is>
      </c>
      <c r="E10" s="13" t="n">
        <v>110</v>
      </c>
      <c r="F10" s="13" t="n">
        <v>1</v>
      </c>
    </row>
    <row r="11">
      <c r="A11" s="12" t="n">
        <v>46269</v>
      </c>
      <c r="B11" s="13" t="inlineStr">
        <is>
          <t>L0904-A</t>
        </is>
      </c>
      <c r="C11" s="13" t="inlineStr">
        <is>
          <t>A</t>
        </is>
      </c>
      <c r="D11" s="13" t="inlineStr">
        <is>
          <t>커플링</t>
        </is>
      </c>
      <c r="E11" s="13" t="n">
        <v>60</v>
      </c>
      <c r="F11" s="13" t="n">
        <v>3</v>
      </c>
    </row>
    <row r="12">
      <c r="A12" s="12" t="n">
        <v>46272</v>
      </c>
      <c r="B12" s="13" t="inlineStr">
        <is>
          <t>L0907-B</t>
        </is>
      </c>
      <c r="C12" s="13" t="inlineStr">
        <is>
          <t>B</t>
        </is>
      </c>
      <c r="D12" s="13" t="inlineStr">
        <is>
          <t>감속기어</t>
        </is>
      </c>
      <c r="E12" s="13" t="n">
        <v>130</v>
      </c>
      <c r="F12" s="13" t="n">
        <v>5</v>
      </c>
    </row>
    <row r="13">
      <c r="A13" s="12" t="n">
        <v>46272</v>
      </c>
      <c r="B13" s="13" t="inlineStr">
        <is>
          <t>L0907-C</t>
        </is>
      </c>
      <c r="C13" s="13" t="inlineStr">
        <is>
          <t>C</t>
        </is>
      </c>
      <c r="D13" s="13" t="inlineStr">
        <is>
          <t>구동축</t>
        </is>
      </c>
      <c r="E13" s="13" t="n">
        <v>70</v>
      </c>
      <c r="F13" s="13" t="n">
        <v>0</v>
      </c>
    </row>
    <row r="14">
      <c r="A14" s="12" t="n">
        <v>46273</v>
      </c>
      <c r="B14" s="13" t="inlineStr">
        <is>
          <t>L0908-A</t>
        </is>
      </c>
      <c r="C14" s="13" t="inlineStr">
        <is>
          <t>A</t>
        </is>
      </c>
      <c r="D14" s="13" t="inlineStr">
        <is>
          <t>감속기어</t>
        </is>
      </c>
      <c r="E14" s="13" t="n">
        <v>140</v>
      </c>
      <c r="F14" s="13" t="n">
        <v>1</v>
      </c>
    </row>
    <row r="15">
      <c r="A15" s="12" t="n">
        <v>46273</v>
      </c>
      <c r="B15" s="13" t="inlineStr">
        <is>
          <t>L0908-B</t>
        </is>
      </c>
      <c r="C15" s="13" t="inlineStr">
        <is>
          <t>B</t>
        </is>
      </c>
      <c r="D15" s="13" t="inlineStr">
        <is>
          <t>밸브블록</t>
        </is>
      </c>
      <c r="E15" s="13" t="n">
        <v>95</v>
      </c>
      <c r="F15" s="13" t="n">
        <v>3</v>
      </c>
    </row>
    <row r="16">
      <c r="A16" s="12" t="n">
        <v>46266</v>
      </c>
      <c r="B16" s="13" t="inlineStr">
        <is>
          <t>L0901-A</t>
        </is>
      </c>
      <c r="C16" s="13" t="inlineStr">
        <is>
          <t>A</t>
        </is>
      </c>
      <c r="D16" s="13" t="inlineStr">
        <is>
          <t>감속기어</t>
        </is>
      </c>
      <c r="E16" s="13" t="n">
        <v>120</v>
      </c>
      <c r="F16" s="13" t="n">
        <v>3</v>
      </c>
    </row>
    <row r="17">
      <c r="A17" s="12" t="n">
        <v>46266</v>
      </c>
      <c r="B17" s="13" t="inlineStr">
        <is>
          <t>L0901-B</t>
        </is>
      </c>
      <c r="C17" s="13" t="inlineStr">
        <is>
          <t>B</t>
        </is>
      </c>
      <c r="D17" s="13" t="inlineStr">
        <is>
          <t>구동축</t>
        </is>
      </c>
      <c r="E17" s="13" t="n">
        <v>80</v>
      </c>
      <c r="F17" s="13" t="n">
        <v>1</v>
      </c>
    </row>
    <row r="18">
      <c r="A18" s="12" t="n">
        <v>46267</v>
      </c>
      <c r="B18" s="13" t="inlineStr">
        <is>
          <t>L0902-A</t>
        </is>
      </c>
      <c r="C18" s="13" t="inlineStr">
        <is>
          <t>A</t>
        </is>
      </c>
      <c r="D18" s="13" t="inlineStr">
        <is>
          <t>밸브블록</t>
        </is>
      </c>
      <c r="E18" s="13" t="n">
        <v>150</v>
      </c>
      <c r="F18" s="13" t="n">
        <v>6</v>
      </c>
    </row>
    <row r="19">
      <c r="A19" s="12" t="n">
        <v>46267</v>
      </c>
      <c r="B19" s="13" t="inlineStr">
        <is>
          <t>L0902-C</t>
        </is>
      </c>
      <c r="C19" s="13" t="inlineStr">
        <is>
          <t>C</t>
        </is>
      </c>
      <c r="D19" s="13" t="inlineStr">
        <is>
          <t>감속기어</t>
        </is>
      </c>
      <c r="E19" s="13" t="n">
        <v>90</v>
      </c>
      <c r="F19" s="13" t="n">
        <v>4</v>
      </c>
    </row>
    <row r="20">
      <c r="A20" s="12" t="n">
        <v>46268</v>
      </c>
      <c r="B20" s="13" t="inlineStr">
        <is>
          <t>L0903-B</t>
        </is>
      </c>
      <c r="C20" s="13" t="inlineStr">
        <is>
          <t>B</t>
        </is>
      </c>
      <c r="D20" s="13" t="inlineStr">
        <is>
          <t>커플링</t>
        </is>
      </c>
      <c r="E20" s="13" t="n">
        <v>200</v>
      </c>
      <c r="F20" s="13" t="n">
        <v>2</v>
      </c>
    </row>
    <row r="21">
      <c r="A21" s="12" t="n">
        <v>46268</v>
      </c>
      <c r="B21" s="13" t="inlineStr">
        <is>
          <t>L0903-A</t>
        </is>
      </c>
      <c r="C21" s="13" t="inlineStr">
        <is>
          <t>A</t>
        </is>
      </c>
      <c r="D21" s="13" t="inlineStr">
        <is>
          <t>구동축</t>
        </is>
      </c>
      <c r="E21" s="13" t="n">
        <v>100</v>
      </c>
      <c r="F21" s="13" t="n">
        <v>2</v>
      </c>
    </row>
    <row r="22">
      <c r="A22" s="12" t="n">
        <v>46269</v>
      </c>
      <c r="B22" s="13" t="inlineStr">
        <is>
          <t>L0904-C</t>
        </is>
      </c>
      <c r="C22" s="13" t="inlineStr">
        <is>
          <t>C</t>
        </is>
      </c>
      <c r="D22" s="13" t="inlineStr">
        <is>
          <t>밸브블록</t>
        </is>
      </c>
      <c r="E22" s="13" t="n">
        <v>110</v>
      </c>
      <c r="F22" s="13" t="n">
        <v>1</v>
      </c>
    </row>
    <row r="23">
      <c r="A23" s="12" t="n">
        <v>46269</v>
      </c>
      <c r="B23" s="13" t="inlineStr">
        <is>
          <t>L0904-A</t>
        </is>
      </c>
      <c r="C23" s="13" t="inlineStr">
        <is>
          <t>A</t>
        </is>
      </c>
      <c r="D23" s="13" t="inlineStr">
        <is>
          <t>커플링</t>
        </is>
      </c>
      <c r="E23" s="13" t="n">
        <v>60</v>
      </c>
      <c r="F23" s="13" t="n">
        <v>3</v>
      </c>
    </row>
    <row r="24">
      <c r="A24" s="12" t="n">
        <v>46272</v>
      </c>
      <c r="B24" s="13" t="inlineStr">
        <is>
          <t>L0907-B</t>
        </is>
      </c>
      <c r="C24" s="13" t="inlineStr">
        <is>
          <t>B</t>
        </is>
      </c>
      <c r="D24" s="13" t="inlineStr">
        <is>
          <t>감속기어</t>
        </is>
      </c>
      <c r="E24" s="13" t="n">
        <v>130</v>
      </c>
      <c r="F24" s="13" t="n">
        <v>5</v>
      </c>
    </row>
    <row r="25">
      <c r="A25" s="12" t="n">
        <v>46272</v>
      </c>
      <c r="B25" s="13" t="inlineStr">
        <is>
          <t>L0907-C</t>
        </is>
      </c>
      <c r="C25" s="13" t="inlineStr">
        <is>
          <t>C</t>
        </is>
      </c>
      <c r="D25" s="13" t="inlineStr">
        <is>
          <t>구동축</t>
        </is>
      </c>
      <c r="E25" s="13" t="n">
        <v>70</v>
      </c>
      <c r="F25" s="13" t="n">
        <v>0</v>
      </c>
    </row>
    <row r="26">
      <c r="A26" s="12" t="n">
        <v>46273</v>
      </c>
      <c r="B26" s="13" t="inlineStr">
        <is>
          <t>L0908-A</t>
        </is>
      </c>
      <c r="C26" s="13" t="inlineStr">
        <is>
          <t>A</t>
        </is>
      </c>
      <c r="D26" s="13" t="inlineStr">
        <is>
          <t>감속기어</t>
        </is>
      </c>
      <c r="E26" s="13" t="n">
        <v>140</v>
      </c>
      <c r="F26" s="13" t="n">
        <v>1</v>
      </c>
    </row>
    <row r="27">
      <c r="A27" s="12" t="n">
        <v>46273</v>
      </c>
      <c r="B27" s="13" t="inlineStr">
        <is>
          <t>L0908-B</t>
        </is>
      </c>
      <c r="C27" s="13" t="inlineStr">
        <is>
          <t>B</t>
        </is>
      </c>
      <c r="D27" s="13" t="inlineStr">
        <is>
          <t>밸브블록</t>
        </is>
      </c>
      <c r="E27" s="13" t="n">
        <v>95</v>
      </c>
      <c r="F27" s="13" t="n">
        <v>3</v>
      </c>
    </row>
    <row r="28">
      <c r="A28" s="12" t="n">
        <v>46266</v>
      </c>
      <c r="B28" s="13" t="inlineStr">
        <is>
          <t>L0901-A</t>
        </is>
      </c>
      <c r="C28" s="13" t="inlineStr">
        <is>
          <t>A</t>
        </is>
      </c>
      <c r="D28" s="13" t="inlineStr">
        <is>
          <t>감속기어</t>
        </is>
      </c>
      <c r="E28" s="13" t="n">
        <v>120</v>
      </c>
      <c r="F28" s="13" t="n">
        <v>3</v>
      </c>
    </row>
    <row r="29">
      <c r="A29" s="12" t="n">
        <v>46266</v>
      </c>
      <c r="B29" s="13" t="inlineStr">
        <is>
          <t>L0901-B</t>
        </is>
      </c>
      <c r="C29" s="13" t="inlineStr">
        <is>
          <t>B</t>
        </is>
      </c>
      <c r="D29" s="13" t="inlineStr">
        <is>
          <t>구동축</t>
        </is>
      </c>
      <c r="E29" s="13" t="n">
        <v>80</v>
      </c>
      <c r="F29" s="13" t="n">
        <v>1</v>
      </c>
    </row>
    <row r="30">
      <c r="A30" s="12" t="n">
        <v>46267</v>
      </c>
      <c r="B30" s="13" t="inlineStr">
        <is>
          <t>L0902-A</t>
        </is>
      </c>
      <c r="C30" s="13" t="inlineStr">
        <is>
          <t>A</t>
        </is>
      </c>
      <c r="D30" s="13" t="inlineStr">
        <is>
          <t>밸브블록</t>
        </is>
      </c>
      <c r="E30" s="13" t="n">
        <v>150</v>
      </c>
      <c r="F30" s="13" t="n">
        <v>6</v>
      </c>
    </row>
    <row r="31">
      <c r="A31" s="12" t="n">
        <v>46267</v>
      </c>
      <c r="B31" s="13" t="inlineStr">
        <is>
          <t>L0902-C</t>
        </is>
      </c>
      <c r="C31" s="13" t="inlineStr">
        <is>
          <t>C</t>
        </is>
      </c>
      <c r="D31" s="13" t="inlineStr">
        <is>
          <t>감속기어</t>
        </is>
      </c>
      <c r="E31" s="13" t="n">
        <v>90</v>
      </c>
      <c r="F31" s="13" t="n">
        <v>4</v>
      </c>
    </row>
    <row r="32">
      <c r="A32" s="12" t="n">
        <v>46268</v>
      </c>
      <c r="B32" s="13" t="inlineStr">
        <is>
          <t>L0903-B</t>
        </is>
      </c>
      <c r="C32" s="13" t="inlineStr">
        <is>
          <t>B</t>
        </is>
      </c>
      <c r="D32" s="13" t="inlineStr">
        <is>
          <t>커플링</t>
        </is>
      </c>
      <c r="E32" s="13" t="n">
        <v>200</v>
      </c>
      <c r="F32" s="13" t="n">
        <v>2</v>
      </c>
    </row>
    <row r="33">
      <c r="A33" s="12" t="n">
        <v>46268</v>
      </c>
      <c r="B33" s="13" t="inlineStr">
        <is>
          <t>L0903-A</t>
        </is>
      </c>
      <c r="C33" s="13" t="inlineStr">
        <is>
          <t>A</t>
        </is>
      </c>
      <c r="D33" s="13" t="inlineStr">
        <is>
          <t>구동축</t>
        </is>
      </c>
      <c r="E33" s="13" t="n">
        <v>100</v>
      </c>
      <c r="F33" s="13" t="n">
        <v>2</v>
      </c>
    </row>
    <row r="34">
      <c r="A34" s="12" t="n">
        <v>46269</v>
      </c>
      <c r="B34" s="13" t="inlineStr">
        <is>
          <t>L0904-C</t>
        </is>
      </c>
      <c r="C34" s="13" t="inlineStr">
        <is>
          <t>C</t>
        </is>
      </c>
      <c r="D34" s="13" t="inlineStr">
        <is>
          <t>밸브블록</t>
        </is>
      </c>
      <c r="E34" s="13" t="n">
        <v>110</v>
      </c>
      <c r="F34" s="13" t="n">
        <v>1</v>
      </c>
    </row>
    <row r="35">
      <c r="A35" s="12" t="n">
        <v>46269</v>
      </c>
      <c r="B35" s="13" t="inlineStr">
        <is>
          <t>L0904-A</t>
        </is>
      </c>
      <c r="C35" s="13" t="inlineStr">
        <is>
          <t>A</t>
        </is>
      </c>
      <c r="D35" s="13" t="inlineStr">
        <is>
          <t>커플링</t>
        </is>
      </c>
      <c r="E35" s="13" t="n">
        <v>60</v>
      </c>
      <c r="F35" s="13" t="n">
        <v>3</v>
      </c>
    </row>
    <row r="36">
      <c r="A36" s="12" t="n">
        <v>46272</v>
      </c>
      <c r="B36" s="13" t="inlineStr">
        <is>
          <t>L0907-B</t>
        </is>
      </c>
      <c r="C36" s="13" t="inlineStr">
        <is>
          <t>B</t>
        </is>
      </c>
      <c r="D36" s="13" t="inlineStr">
        <is>
          <t>감속기어</t>
        </is>
      </c>
      <c r="E36" s="13" t="n">
        <v>130</v>
      </c>
      <c r="F36" s="13" t="n">
        <v>5</v>
      </c>
    </row>
    <row r="37">
      <c r="A37" s="12" t="n">
        <v>46272</v>
      </c>
      <c r="B37" s="13" t="inlineStr">
        <is>
          <t>L0907-C</t>
        </is>
      </c>
      <c r="C37" s="13" t="inlineStr">
        <is>
          <t>C</t>
        </is>
      </c>
      <c r="D37" s="13" t="inlineStr">
        <is>
          <t>구동축</t>
        </is>
      </c>
      <c r="E37" s="13" t="n">
        <v>70</v>
      </c>
      <c r="F37" s="13" t="n">
        <v>0</v>
      </c>
    </row>
    <row r="38">
      <c r="A38" s="12" t="n">
        <v>46273</v>
      </c>
      <c r="B38" s="13" t="inlineStr">
        <is>
          <t>L0908-A</t>
        </is>
      </c>
      <c r="C38" s="13" t="inlineStr">
        <is>
          <t>A</t>
        </is>
      </c>
      <c r="D38" s="13" t="inlineStr">
        <is>
          <t>감속기어</t>
        </is>
      </c>
      <c r="E38" s="13" t="n">
        <v>140</v>
      </c>
      <c r="F38" s="13" t="n">
        <v>1</v>
      </c>
    </row>
    <row r="39">
      <c r="A39" s="12" t="n">
        <v>46273</v>
      </c>
      <c r="B39" s="13" t="inlineStr">
        <is>
          <t>L0908-B</t>
        </is>
      </c>
      <c r="C39" s="13" t="inlineStr">
        <is>
          <t>B</t>
        </is>
      </c>
      <c r="D39" s="13" t="inlineStr">
        <is>
          <t>밸브블록</t>
        </is>
      </c>
      <c r="E39" s="13" t="n">
        <v>95</v>
      </c>
      <c r="F39" s="13" t="n">
        <v>3</v>
      </c>
    </row>
    <row r="40">
      <c r="A40" s="12" t="n">
        <v>46266</v>
      </c>
      <c r="B40" s="13" t="inlineStr">
        <is>
          <t>L0901-A</t>
        </is>
      </c>
      <c r="C40" s="13" t="inlineStr">
        <is>
          <t>A</t>
        </is>
      </c>
      <c r="D40" s="13" t="inlineStr">
        <is>
          <t>감속기어</t>
        </is>
      </c>
      <c r="E40" s="13" t="n">
        <v>120</v>
      </c>
      <c r="F40" s="13" t="n">
        <v>3</v>
      </c>
    </row>
    <row r="41">
      <c r="A41" s="12" t="n">
        <v>46266</v>
      </c>
      <c r="B41" s="13" t="inlineStr">
        <is>
          <t>L0901-B</t>
        </is>
      </c>
      <c r="C41" s="13" t="inlineStr">
        <is>
          <t>B</t>
        </is>
      </c>
      <c r="D41" s="13" t="inlineStr">
        <is>
          <t>구동축</t>
        </is>
      </c>
      <c r="E41" s="13" t="n">
        <v>80</v>
      </c>
      <c r="F41" s="13" t="n">
        <v>1</v>
      </c>
    </row>
    <row r="42">
      <c r="A42" s="12" t="n">
        <v>46267</v>
      </c>
      <c r="B42" s="13" t="inlineStr">
        <is>
          <t>L0902-A</t>
        </is>
      </c>
      <c r="C42" s="13" t="inlineStr">
        <is>
          <t>A</t>
        </is>
      </c>
      <c r="D42" s="13" t="inlineStr">
        <is>
          <t>밸브블록</t>
        </is>
      </c>
      <c r="E42" s="13" t="n">
        <v>150</v>
      </c>
      <c r="F42" s="13" t="n">
        <v>6</v>
      </c>
    </row>
    <row r="43">
      <c r="A43" s="12" t="n">
        <v>46267</v>
      </c>
      <c r="B43" s="13" t="inlineStr">
        <is>
          <t>L0902-C</t>
        </is>
      </c>
      <c r="C43" s="13" t="inlineStr">
        <is>
          <t>C</t>
        </is>
      </c>
      <c r="D43" s="13" t="inlineStr">
        <is>
          <t>감속기어</t>
        </is>
      </c>
      <c r="E43" s="13" t="n">
        <v>90</v>
      </c>
      <c r="F43" s="13" t="n">
        <v>4</v>
      </c>
    </row>
  </sheetData>
  <mergeCells count="1"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5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hidden="1" width="13" customWidth="1" min="27" max="27"/>
    <col hidden="1" width="13" customWidth="1" min="28" max="28"/>
  </cols>
  <sheetData>
    <row r="1">
      <c r="A1" s="16" t="inlineStr">
        <is>
          <t>[표1] 라인별 불량수 합계</t>
        </is>
      </c>
    </row>
    <row r="2">
      <c r="A2" s="11" t="inlineStr">
        <is>
          <t>검사일</t>
        </is>
      </c>
      <c r="B2" s="11" t="inlineStr">
        <is>
          <t>라인</t>
        </is>
      </c>
      <c r="C2" s="11" t="inlineStr">
        <is>
          <t>제품</t>
        </is>
      </c>
      <c r="D2" s="11" t="inlineStr">
        <is>
          <t>불량수</t>
        </is>
      </c>
      <c r="E2" s="11" t="inlineStr"/>
      <c r="F2" s="11" t="inlineStr"/>
      <c r="G2" s="11" t="inlineStr">
        <is>
          <t>라인</t>
        </is>
      </c>
      <c r="H2" s="11" t="inlineStr">
        <is>
          <t>불량 합계</t>
        </is>
      </c>
    </row>
    <row r="3">
      <c r="A3" s="12" t="n">
        <v>46266</v>
      </c>
      <c r="B3" s="13" t="inlineStr">
        <is>
          <t>B</t>
        </is>
      </c>
      <c r="C3" s="13" t="inlineStr">
        <is>
          <t>감속기어</t>
        </is>
      </c>
      <c r="D3" s="13" t="n">
        <v>3</v>
      </c>
      <c r="E3" s="17" t="n"/>
      <c r="F3" s="17" t="n"/>
      <c r="G3" s="13" t="inlineStr">
        <is>
          <t>A</t>
        </is>
      </c>
      <c r="H3" s="18" t="n">
        <v>0</v>
      </c>
      <c r="AA3">
        <f t="array" ref="AA3">SUM(($B$3:$B$10=G3)*$D$3:$D$10)</f>
        <v/>
      </c>
      <c r="AB3">
        <f>AND(_xlfn.ISFORMULA(H3),IFERROR(ROUND(H3,4)=ROUND(AA3,4),EXACT(H3,AA3)))</f>
        <v/>
      </c>
    </row>
    <row r="4">
      <c r="A4" s="12" t="n">
        <v>46266</v>
      </c>
      <c r="B4" s="13" t="inlineStr">
        <is>
          <t>A</t>
        </is>
      </c>
      <c r="C4" s="13" t="inlineStr">
        <is>
          <t>구동축</t>
        </is>
      </c>
      <c r="D4" s="13" t="n">
        <v>1</v>
      </c>
      <c r="E4" s="17" t="n"/>
      <c r="F4" s="17" t="n"/>
      <c r="G4" s="13" t="inlineStr">
        <is>
          <t>B</t>
        </is>
      </c>
      <c r="H4" s="18" t="n">
        <v>0</v>
      </c>
      <c r="AA4">
        <f t="array" ref="AA4">SUM(($B$3:$B$10=G4)*$D$3:$D$10)</f>
        <v/>
      </c>
      <c r="AB4">
        <f>AND(_xlfn.ISFORMULA(H4),IFERROR(ROUND(H4,4)=ROUND(AA4,4),EXACT(H4,AA4)))</f>
        <v/>
      </c>
    </row>
    <row r="5">
      <c r="A5" s="12" t="n">
        <v>46267</v>
      </c>
      <c r="B5" s="13" t="inlineStr">
        <is>
          <t>C</t>
        </is>
      </c>
      <c r="C5" s="13" t="inlineStr">
        <is>
          <t>밸브</t>
        </is>
      </c>
      <c r="D5" s="13" t="n">
        <v>6</v>
      </c>
      <c r="E5" s="17" t="n"/>
      <c r="F5" s="17" t="n"/>
      <c r="G5" s="13" t="inlineStr">
        <is>
          <t>C</t>
        </is>
      </c>
      <c r="H5" s="18" t="n">
        <v>0</v>
      </c>
      <c r="AA5">
        <f t="array" ref="AA5">SUM(($B$3:$B$10=G5)*$D$3:$D$10)</f>
        <v/>
      </c>
      <c r="AB5">
        <f>AND(_xlfn.ISFORMULA(H5),IFERROR(ROUND(H5,4)=ROUND(AA5,4),EXACT(H5,AA5)))</f>
        <v/>
      </c>
    </row>
    <row r="6">
      <c r="A6" s="12" t="n">
        <v>46267</v>
      </c>
      <c r="B6" s="13" t="inlineStr">
        <is>
          <t>A</t>
        </is>
      </c>
      <c r="C6" s="13" t="inlineStr">
        <is>
          <t>기어</t>
        </is>
      </c>
      <c r="D6" s="13" t="n">
        <v>4</v>
      </c>
      <c r="E6" s="17" t="n"/>
      <c r="F6" s="17" t="n"/>
      <c r="G6" s="17" t="n"/>
      <c r="H6" s="17" t="n"/>
    </row>
    <row r="7">
      <c r="A7" s="12" t="n">
        <v>46268</v>
      </c>
      <c r="B7" s="13" t="inlineStr">
        <is>
          <t>B</t>
        </is>
      </c>
      <c r="C7" s="13" t="inlineStr">
        <is>
          <t>커플링</t>
        </is>
      </c>
      <c r="D7" s="13" t="n">
        <v>2</v>
      </c>
      <c r="E7" s="17" t="n"/>
      <c r="F7" s="17" t="n"/>
      <c r="G7" s="17" t="n"/>
      <c r="H7" s="17" t="n"/>
    </row>
    <row r="8">
      <c r="A8" s="12" t="n">
        <v>46268</v>
      </c>
      <c r="B8" s="13" t="inlineStr">
        <is>
          <t>C</t>
        </is>
      </c>
      <c r="C8" s="13" t="inlineStr">
        <is>
          <t>구동축</t>
        </is>
      </c>
      <c r="D8" s="13" t="n">
        <v>2</v>
      </c>
      <c r="E8" s="17" t="n"/>
      <c r="F8" s="17" t="n"/>
      <c r="G8" s="17" t="n"/>
      <c r="H8" s="17" t="n"/>
    </row>
    <row r="9">
      <c r="A9" s="12" t="n">
        <v>46269</v>
      </c>
      <c r="B9" s="13" t="inlineStr">
        <is>
          <t>A</t>
        </is>
      </c>
      <c r="C9" s="13" t="inlineStr">
        <is>
          <t>밸브</t>
        </is>
      </c>
      <c r="D9" s="13" t="n">
        <v>5</v>
      </c>
      <c r="E9" s="17" t="n"/>
      <c r="F9" s="17" t="n"/>
      <c r="G9" s="17" t="n"/>
      <c r="H9" s="17" t="n"/>
    </row>
    <row r="10">
      <c r="A10" s="12" t="n">
        <v>46269</v>
      </c>
      <c r="B10" s="13" t="inlineStr">
        <is>
          <t>B</t>
        </is>
      </c>
      <c r="C10" s="13" t="inlineStr">
        <is>
          <t>기어</t>
        </is>
      </c>
      <c r="D10" s="13" t="n">
        <v>1</v>
      </c>
      <c r="E10" s="17" t="n"/>
      <c r="F10" s="17" t="n"/>
      <c r="G10" s="17" t="n"/>
      <c r="H10" s="17" t="n"/>
    </row>
    <row r="13">
      <c r="A13" s="16" t="inlineStr">
        <is>
          <t>[표2] 로트 판정</t>
        </is>
      </c>
    </row>
    <row r="14">
      <c r="A14" s="11" t="inlineStr">
        <is>
          <t>로트번호</t>
        </is>
      </c>
      <c r="B14" s="11" t="inlineStr">
        <is>
          <t>검사수</t>
        </is>
      </c>
      <c r="C14" s="11" t="inlineStr">
        <is>
          <t>불량수</t>
        </is>
      </c>
      <c r="D14" s="11" t="inlineStr">
        <is>
          <t>불량률</t>
        </is>
      </c>
      <c r="E14" s="11" t="inlineStr">
        <is>
          <t>판정</t>
        </is>
      </c>
    </row>
    <row r="15">
      <c r="A15" s="13" t="inlineStr">
        <is>
          <t>L01</t>
        </is>
      </c>
      <c r="B15" s="13" t="n">
        <v>120</v>
      </c>
      <c r="C15" s="13" t="n">
        <v>2</v>
      </c>
      <c r="D15" s="19" t="n">
        <v>0.0167</v>
      </c>
      <c r="E15" s="18" t="n">
        <v>0</v>
      </c>
      <c r="AA15">
        <f>IF(AND(B15&gt;=100,D15&lt;=2%),"합격","재검")</f>
        <v/>
      </c>
      <c r="AB15">
        <f>AND(_xlfn.ISFORMULA(E15),IFERROR(ROUND(E15,4)=ROUND(AA15,4),EXACT(E15,AA15)))</f>
        <v/>
      </c>
    </row>
    <row r="16">
      <c r="A16" s="13" t="inlineStr">
        <is>
          <t>L02</t>
        </is>
      </c>
      <c r="B16" s="13" t="n">
        <v>80</v>
      </c>
      <c r="C16" s="13" t="n">
        <v>2</v>
      </c>
      <c r="D16" s="19" t="n">
        <v>0.025</v>
      </c>
      <c r="E16" s="18" t="n">
        <v>0</v>
      </c>
      <c r="AA16">
        <f>IF(AND(B16&gt;=100,D16&lt;=2%),"합격","재검")</f>
        <v/>
      </c>
      <c r="AB16">
        <f>AND(_xlfn.ISFORMULA(E16),IFERROR(ROUND(E16,4)=ROUND(AA16,4),EXACT(E16,AA16)))</f>
        <v/>
      </c>
    </row>
    <row r="17">
      <c r="A17" s="13" t="inlineStr">
        <is>
          <t>L03</t>
        </is>
      </c>
      <c r="B17" s="13" t="n">
        <v>150</v>
      </c>
      <c r="C17" s="13" t="n">
        <v>3</v>
      </c>
      <c r="D17" s="19" t="n">
        <v>0.02</v>
      </c>
      <c r="E17" s="18" t="n">
        <v>0</v>
      </c>
      <c r="AA17">
        <f>IF(AND(B17&gt;=100,D17&lt;=2%),"합격","재검")</f>
        <v/>
      </c>
      <c r="AB17">
        <f>AND(_xlfn.ISFORMULA(E17),IFERROR(ROUND(E17,4)=ROUND(AA17,4),EXACT(E17,AA17)))</f>
        <v/>
      </c>
    </row>
    <row r="18">
      <c r="A18" s="13" t="inlineStr">
        <is>
          <t>L04</t>
        </is>
      </c>
      <c r="B18" s="13" t="n">
        <v>90</v>
      </c>
      <c r="C18" s="13" t="n">
        <v>1</v>
      </c>
      <c r="D18" s="19" t="n">
        <v>0.0111</v>
      </c>
      <c r="E18" s="18" t="n">
        <v>0</v>
      </c>
      <c r="AA18">
        <f>IF(AND(B18&gt;=100,D18&lt;=2%),"합격","재검")</f>
        <v/>
      </c>
      <c r="AB18">
        <f>AND(_xlfn.ISFORMULA(E18),IFERROR(ROUND(E18,4)=ROUND(AA18,4),EXACT(E18,AA18)))</f>
        <v/>
      </c>
    </row>
    <row r="19">
      <c r="A19" s="13" t="inlineStr">
        <is>
          <t>L05</t>
        </is>
      </c>
      <c r="B19" s="13" t="n">
        <v>100</v>
      </c>
      <c r="C19" s="13" t="n">
        <v>2</v>
      </c>
      <c r="D19" s="19" t="n">
        <v>0.02</v>
      </c>
      <c r="E19" s="18" t="n">
        <v>0</v>
      </c>
      <c r="AA19">
        <f>IF(AND(B19&gt;=100,D19&lt;=2%),"합격","재검")</f>
        <v/>
      </c>
      <c r="AB19">
        <f>AND(_xlfn.ISFORMULA(E19),IFERROR(ROUND(E19,4)=ROUND(AA19,4),EXACT(E19,AA19)))</f>
        <v/>
      </c>
    </row>
    <row r="20">
      <c r="A20" s="13" t="inlineStr">
        <is>
          <t>L06</t>
        </is>
      </c>
      <c r="B20" s="13" t="n">
        <v>200</v>
      </c>
      <c r="C20" s="13" t="n">
        <v>5</v>
      </c>
      <c r="D20" s="19" t="n">
        <v>0.025</v>
      </c>
      <c r="E20" s="18" t="n">
        <v>0</v>
      </c>
      <c r="AA20">
        <f>IF(AND(B20&gt;=100,D20&lt;=2%),"합격","재검")</f>
        <v/>
      </c>
      <c r="AB20">
        <f>AND(_xlfn.ISFORMULA(E20),IFERROR(ROUND(E20,4)=ROUND(AA20,4),EXACT(E20,AA20)))</f>
        <v/>
      </c>
    </row>
    <row r="21">
      <c r="A21" s="13" t="inlineStr">
        <is>
          <t>L07</t>
        </is>
      </c>
      <c r="B21" s="13" t="n">
        <v>99</v>
      </c>
      <c r="C21" s="13" t="n">
        <v>1</v>
      </c>
      <c r="D21" s="19" t="n">
        <v>0.0101</v>
      </c>
      <c r="E21" s="18" t="n">
        <v>0</v>
      </c>
      <c r="AA21">
        <f>IF(AND(B21&gt;=100,D21&lt;=2%),"합격","재검")</f>
        <v/>
      </c>
      <c r="AB21">
        <f>AND(_xlfn.ISFORMULA(E21),IFERROR(ROUND(E21,4)=ROUND(AA21,4),EXACT(E21,AA21)))</f>
        <v/>
      </c>
    </row>
    <row r="22">
      <c r="A22" s="13" t="inlineStr">
        <is>
          <t>L08</t>
        </is>
      </c>
      <c r="B22" s="13" t="n">
        <v>130</v>
      </c>
      <c r="C22" s="13" t="n">
        <v>1</v>
      </c>
      <c r="D22" s="19" t="n">
        <v>0.0077</v>
      </c>
      <c r="E22" s="18" t="n">
        <v>0</v>
      </c>
      <c r="AA22">
        <f>IF(AND(B22&gt;=100,D22&lt;=2%),"합격","재검")</f>
        <v/>
      </c>
      <c r="AB22">
        <f>AND(_xlfn.ISFORMULA(E22),IFERROR(ROUND(E22,4)=ROUND(AA22,4),EXACT(E22,AA22)))</f>
        <v/>
      </c>
    </row>
    <row r="25">
      <c r="A25" s="16" t="inlineStr">
        <is>
          <t>[표3] 라인·월별 가동률 조회</t>
        </is>
      </c>
    </row>
    <row r="26">
      <c r="A26" s="11" t="inlineStr">
        <is>
          <t>라인</t>
        </is>
      </c>
      <c r="B26" s="11" t="inlineStr">
        <is>
          <t>7월</t>
        </is>
      </c>
      <c r="C26" s="11" t="inlineStr">
        <is>
          <t>8월</t>
        </is>
      </c>
      <c r="D26" s="11" t="inlineStr">
        <is>
          <t>9월</t>
        </is>
      </c>
      <c r="E26" s="11" t="inlineStr"/>
      <c r="F26" s="11" t="inlineStr">
        <is>
          <t>라인</t>
        </is>
      </c>
      <c r="G26" s="11" t="inlineStr">
        <is>
          <t>월</t>
        </is>
      </c>
      <c r="H26" s="11" t="inlineStr">
        <is>
          <t>가동률</t>
        </is>
      </c>
    </row>
    <row r="27">
      <c r="A27" s="13" t="inlineStr">
        <is>
          <t>A</t>
        </is>
      </c>
      <c r="B27" s="20" t="n">
        <v>0.91</v>
      </c>
      <c r="C27" s="20" t="n">
        <v>0.88</v>
      </c>
      <c r="D27" s="20" t="n">
        <v>0.93</v>
      </c>
      <c r="E27" s="17" t="n"/>
      <c r="F27" s="13" t="inlineStr">
        <is>
          <t>B</t>
        </is>
      </c>
      <c r="G27" s="13" t="inlineStr">
        <is>
          <t>9월</t>
        </is>
      </c>
      <c r="H27" s="21" t="n">
        <v>0</v>
      </c>
      <c r="AA27">
        <f>INDEX($B$27:$D$30,MATCH(F27,$A$27:$A$30,0),MATCH(G27,$B$26:$D$26,0))</f>
        <v/>
      </c>
      <c r="AB27">
        <f>AND(_xlfn.ISFORMULA(H27),IFERROR(ROUND(H27,4)=ROUND(AA27,4),EXACT(H27,AA27)))</f>
        <v/>
      </c>
    </row>
    <row r="28">
      <c r="A28" s="13" t="inlineStr">
        <is>
          <t>B</t>
        </is>
      </c>
      <c r="B28" s="20" t="n">
        <v>0.84</v>
      </c>
      <c r="C28" s="20" t="n">
        <v>0.9</v>
      </c>
      <c r="D28" s="20" t="n">
        <v>0.87</v>
      </c>
      <c r="E28" s="17" t="n"/>
      <c r="F28" s="13" t="inlineStr">
        <is>
          <t>A</t>
        </is>
      </c>
      <c r="G28" s="13" t="inlineStr">
        <is>
          <t>7월</t>
        </is>
      </c>
      <c r="H28" s="21" t="n">
        <v>0</v>
      </c>
      <c r="AA28">
        <f>INDEX($B$27:$D$30,MATCH(F28,$A$27:$A$30,0),MATCH(G28,$B$26:$D$26,0))</f>
        <v/>
      </c>
      <c r="AB28">
        <f>AND(_xlfn.ISFORMULA(H28),IFERROR(ROUND(H28,4)=ROUND(AA28,4),EXACT(H28,AA28)))</f>
        <v/>
      </c>
    </row>
    <row r="29">
      <c r="A29" s="13" t="inlineStr">
        <is>
          <t>C</t>
        </is>
      </c>
      <c r="B29" s="20" t="n">
        <v>0.79</v>
      </c>
      <c r="C29" s="20" t="n">
        <v>0.82</v>
      </c>
      <c r="D29" s="20" t="n">
        <v>0.95</v>
      </c>
      <c r="E29" s="17" t="n"/>
      <c r="F29" s="13" t="inlineStr">
        <is>
          <t>C</t>
        </is>
      </c>
      <c r="G29" s="13" t="inlineStr">
        <is>
          <t>8월</t>
        </is>
      </c>
      <c r="H29" s="21" t="n">
        <v>0</v>
      </c>
      <c r="AA29">
        <f>INDEX($B$27:$D$30,MATCH(F29,$A$27:$A$30,0),MATCH(G29,$B$26:$D$26,0))</f>
        <v/>
      </c>
      <c r="AB29">
        <f>AND(_xlfn.ISFORMULA(H29),IFERROR(ROUND(H29,4)=ROUND(AA29,4),EXACT(H29,AA29)))</f>
        <v/>
      </c>
    </row>
    <row r="30">
      <c r="A30" s="13" t="inlineStr">
        <is>
          <t>D</t>
        </is>
      </c>
      <c r="B30" s="20" t="n">
        <v>0.88</v>
      </c>
      <c r="C30" s="20" t="n">
        <v>0.86</v>
      </c>
      <c r="D30" s="20" t="n">
        <v>0.8</v>
      </c>
      <c r="E30" s="17" t="n"/>
      <c r="F30" s="13" t="inlineStr">
        <is>
          <t>D</t>
        </is>
      </c>
      <c r="G30" s="13" t="inlineStr">
        <is>
          <t>9월</t>
        </is>
      </c>
      <c r="H30" s="21" t="n">
        <v>0</v>
      </c>
      <c r="AA30">
        <f>INDEX($B$27:$D$30,MATCH(F30,$A$27:$A$30,0),MATCH(G30,$B$26:$D$26,0))</f>
        <v/>
      </c>
      <c r="AB30">
        <f>AND(_xlfn.ISFORMULA(H30),IFERROR(ROUND(H30,4)=ROUND(AA30,4),EXACT(H30,AA30)))</f>
        <v/>
      </c>
    </row>
    <row r="33">
      <c r="A33" s="16" t="inlineStr">
        <is>
          <t>[표4] 라인·제품별 검사 건수</t>
        </is>
      </c>
    </row>
    <row r="34">
      <c r="A34" s="11" t="inlineStr">
        <is>
          <t>라인</t>
        </is>
      </c>
      <c r="B34" s="11" t="inlineStr">
        <is>
          <t>제품</t>
        </is>
      </c>
      <c r="C34" s="11" t="inlineStr"/>
      <c r="D34" s="11" t="inlineStr">
        <is>
          <t>라인</t>
        </is>
      </c>
      <c r="E34" s="11" t="inlineStr">
        <is>
          <t>제품</t>
        </is>
      </c>
      <c r="F34" s="11" t="inlineStr">
        <is>
          <t>건수</t>
        </is>
      </c>
    </row>
    <row r="35">
      <c r="A35" s="13" t="inlineStr">
        <is>
          <t>A</t>
        </is>
      </c>
      <c r="B35" s="13" t="inlineStr">
        <is>
          <t>기어</t>
        </is>
      </c>
      <c r="C35" s="17" t="n"/>
      <c r="D35" s="13" t="inlineStr">
        <is>
          <t>A</t>
        </is>
      </c>
      <c r="E35" s="13" t="inlineStr">
        <is>
          <t>기어</t>
        </is>
      </c>
      <c r="F35" s="18" t="n">
        <v>0</v>
      </c>
      <c r="AA35">
        <f>COUNTIFS($A$35:$A$42,D35,$B$35:$B$42,E35)&amp;"건"</f>
        <v/>
      </c>
      <c r="AB35">
        <f>AND(_xlfn.ISFORMULA(F35),IFERROR(ROUND(F35,4)=ROUND(AA35,4),EXACT(F35,AA35)))</f>
        <v/>
      </c>
    </row>
    <row r="36">
      <c r="A36" s="13" t="inlineStr">
        <is>
          <t>B</t>
        </is>
      </c>
      <c r="B36" s="13" t="inlineStr">
        <is>
          <t>축</t>
        </is>
      </c>
      <c r="C36" s="17" t="n"/>
      <c r="D36" s="13" t="inlineStr">
        <is>
          <t>B</t>
        </is>
      </c>
      <c r="E36" s="13" t="inlineStr">
        <is>
          <t>기어</t>
        </is>
      </c>
      <c r="F36" s="18" t="n">
        <v>0</v>
      </c>
      <c r="AA36">
        <f>COUNTIFS($A$35:$A$42,D36,$B$35:$B$42,E36)&amp;"건"</f>
        <v/>
      </c>
      <c r="AB36">
        <f>AND(_xlfn.ISFORMULA(F36),IFERROR(ROUND(F36,4)=ROUND(AA36,4),EXACT(F36,AA36)))</f>
        <v/>
      </c>
    </row>
    <row r="37">
      <c r="A37" s="13" t="inlineStr">
        <is>
          <t>A</t>
        </is>
      </c>
      <c r="B37" s="13" t="inlineStr">
        <is>
          <t>축</t>
        </is>
      </c>
      <c r="C37" s="17" t="n"/>
      <c r="D37" s="13" t="inlineStr">
        <is>
          <t>A</t>
        </is>
      </c>
      <c r="E37" s="13" t="inlineStr">
        <is>
          <t>축</t>
        </is>
      </c>
      <c r="F37" s="18" t="n">
        <v>0</v>
      </c>
      <c r="AA37">
        <f>COUNTIFS($A$35:$A$42,D37,$B$35:$B$42,E37)&amp;"건"</f>
        <v/>
      </c>
      <c r="AB37">
        <f>AND(_xlfn.ISFORMULA(F37),IFERROR(ROUND(F37,4)=ROUND(AA37,4),EXACT(F37,AA37)))</f>
        <v/>
      </c>
    </row>
    <row r="38">
      <c r="A38" s="13" t="inlineStr">
        <is>
          <t>A</t>
        </is>
      </c>
      <c r="B38" s="13" t="inlineStr">
        <is>
          <t>기어</t>
        </is>
      </c>
      <c r="C38" s="17" t="n"/>
      <c r="D38" s="17" t="n"/>
      <c r="E38" s="17" t="n"/>
      <c r="F38" s="17" t="n"/>
    </row>
    <row r="39">
      <c r="A39" s="13" t="inlineStr">
        <is>
          <t>B</t>
        </is>
      </c>
      <c r="B39" s="13" t="inlineStr">
        <is>
          <t>기어</t>
        </is>
      </c>
      <c r="C39" s="17" t="n"/>
      <c r="D39" s="17" t="n"/>
      <c r="E39" s="17" t="n"/>
      <c r="F39" s="17" t="n"/>
    </row>
    <row r="40">
      <c r="A40" s="13" t="inlineStr">
        <is>
          <t>C</t>
        </is>
      </c>
      <c r="B40" s="13" t="inlineStr">
        <is>
          <t>축</t>
        </is>
      </c>
      <c r="C40" s="17" t="n"/>
      <c r="D40" s="17" t="n"/>
      <c r="E40" s="17" t="n"/>
      <c r="F40" s="17" t="n"/>
    </row>
    <row r="41">
      <c r="A41" s="13" t="inlineStr">
        <is>
          <t>A</t>
        </is>
      </c>
      <c r="B41" s="13" t="inlineStr">
        <is>
          <t>기어</t>
        </is>
      </c>
      <c r="C41" s="17" t="n"/>
      <c r="D41" s="17" t="n"/>
      <c r="E41" s="17" t="n"/>
      <c r="F41" s="17" t="n"/>
    </row>
    <row r="42">
      <c r="A42" s="13" t="inlineStr">
        <is>
          <t>B</t>
        </is>
      </c>
      <c r="B42" s="13" t="inlineStr">
        <is>
          <t>축</t>
        </is>
      </c>
      <c r="C42" s="17" t="n"/>
      <c r="D42" s="17" t="n"/>
      <c r="E42" s="17" t="n"/>
      <c r="F42" s="17" t="n"/>
    </row>
    <row r="45">
      <c r="A45" s="16" t="inlineStr">
        <is>
          <t>[표5] 품질 등급 (사용자 정의 함수)</t>
        </is>
      </c>
    </row>
    <row r="46">
      <c r="A46" s="11" t="inlineStr">
        <is>
          <t>로트번호</t>
        </is>
      </c>
      <c r="B46" s="11" t="inlineStr">
        <is>
          <t>불량률</t>
        </is>
      </c>
      <c r="C46" s="11" t="inlineStr">
        <is>
          <t>등급</t>
        </is>
      </c>
    </row>
    <row r="47">
      <c r="A47" s="13" t="inlineStr">
        <is>
          <t>L11</t>
        </is>
      </c>
      <c r="B47" s="14" t="n">
        <v>0.008</v>
      </c>
      <c r="C47" s="18" t="n">
        <v>0</v>
      </c>
      <c r="AA47">
        <f>IF(B47&lt;=0.01,"우수",IF(B47&lt;=0.03,"보통","관리"))</f>
        <v/>
      </c>
      <c r="AB47">
        <f>AND(_xlfn.ISFORMULA(C47),IFERROR(ROUND(C47,4)=ROUND(AA47,4),EXACT(C47,AA47)))</f>
        <v/>
      </c>
    </row>
    <row r="48">
      <c r="A48" s="13" t="inlineStr">
        <is>
          <t>L12</t>
        </is>
      </c>
      <c r="B48" s="14" t="n">
        <v>0.01</v>
      </c>
      <c r="C48" s="18" t="n">
        <v>0</v>
      </c>
      <c r="AA48">
        <f>IF(B48&lt;=0.01,"우수",IF(B48&lt;=0.03,"보통","관리"))</f>
        <v/>
      </c>
      <c r="AB48">
        <f>AND(_xlfn.ISFORMULA(C48),IFERROR(ROUND(C48,4)=ROUND(AA48,4),EXACT(C48,AA48)))</f>
        <v/>
      </c>
    </row>
    <row r="49">
      <c r="A49" s="13" t="inlineStr">
        <is>
          <t>L13</t>
        </is>
      </c>
      <c r="B49" s="14" t="n">
        <v>0.025</v>
      </c>
      <c r="C49" s="18" t="n">
        <v>0</v>
      </c>
      <c r="AA49">
        <f>IF(B49&lt;=0.01,"우수",IF(B49&lt;=0.03,"보통","관리"))</f>
        <v/>
      </c>
      <c r="AB49">
        <f>AND(_xlfn.ISFORMULA(C49),IFERROR(ROUND(C49,4)=ROUND(AA49,4),EXACT(C49,AA49)))</f>
        <v/>
      </c>
    </row>
    <row r="50">
      <c r="A50" s="13" t="inlineStr">
        <is>
          <t>L14</t>
        </is>
      </c>
      <c r="B50" s="14" t="n">
        <v>0.03</v>
      </c>
      <c r="C50" s="18" t="n">
        <v>0</v>
      </c>
      <c r="AA50">
        <f>IF(B50&lt;=0.01,"우수",IF(B50&lt;=0.03,"보통","관리"))</f>
        <v/>
      </c>
      <c r="AB50">
        <f>AND(_xlfn.ISFORMULA(C50),IFERROR(ROUND(C50,4)=ROUND(AA50,4),EXACT(C50,AA50)))</f>
        <v/>
      </c>
    </row>
    <row r="51">
      <c r="A51" s="13" t="inlineStr">
        <is>
          <t>L15</t>
        </is>
      </c>
      <c r="B51" s="14" t="n">
        <v>0.031</v>
      </c>
      <c r="C51" s="18" t="n">
        <v>0</v>
      </c>
      <c r="AA51">
        <f>IF(B51&lt;=0.01,"우수",IF(B51&lt;=0.03,"보통","관리"))</f>
        <v/>
      </c>
      <c r="AB51">
        <f>AND(_xlfn.ISFORMULA(C51),IFERROR(ROUND(C51,4)=ROUND(AA51,4),EXACT(C51,AA51)))</f>
        <v/>
      </c>
    </row>
    <row r="52">
      <c r="A52" s="13" t="inlineStr">
        <is>
          <t>L16</t>
        </is>
      </c>
      <c r="B52" s="14" t="n">
        <v>0</v>
      </c>
      <c r="C52" s="18" t="n">
        <v>0</v>
      </c>
      <c r="AA52">
        <f>IF(B52&lt;=0.01,"우수",IF(B52&lt;=0.03,"보통","관리"))</f>
        <v/>
      </c>
      <c r="AB52">
        <f>AND(_xlfn.ISFORMULA(C52),IFERROR(ROUND(C52,4)=ROUND(AA52,4),EXACT(C52,AA52)))</f>
        <v/>
      </c>
    </row>
  </sheetData>
  <mergeCells count="5">
    <mergeCell ref="A33:F33"/>
    <mergeCell ref="A45:C45"/>
    <mergeCell ref="A25:H25"/>
    <mergeCell ref="A13:E13"/>
    <mergeCell ref="A1:H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0" customWidth="1" min="5" max="5"/>
    <col width="13" customWidth="1" min="6" max="6"/>
    <col width="10" customWidth="1" min="7" max="7"/>
  </cols>
  <sheetData>
    <row r="1" ht="26" customHeight="1">
      <c r="A1" s="10" t="inlineStr">
        <is>
          <t>분석작업-1</t>
        </is>
      </c>
    </row>
    <row r="3">
      <c r="A3" s="11" t="inlineStr">
        <is>
          <t>검사일</t>
        </is>
      </c>
      <c r="B3" s="11" t="inlineStr">
        <is>
          <t>로트번호</t>
        </is>
      </c>
      <c r="C3" s="11" t="inlineStr">
        <is>
          <t>라인</t>
        </is>
      </c>
      <c r="D3" s="11" t="inlineStr">
        <is>
          <t>제품</t>
        </is>
      </c>
      <c r="E3" s="11" t="inlineStr">
        <is>
          <t>검사수</t>
        </is>
      </c>
      <c r="F3" s="11" t="inlineStr">
        <is>
          <t>불량수</t>
        </is>
      </c>
      <c r="G3" s="11" t="inlineStr">
        <is>
          <t>불량률</t>
        </is>
      </c>
    </row>
    <row r="4">
      <c r="A4" s="12" t="n">
        <v>46266</v>
      </c>
      <c r="B4" s="13" t="inlineStr">
        <is>
          <t>L0901-A</t>
        </is>
      </c>
      <c r="C4" s="13" t="inlineStr">
        <is>
          <t>A</t>
        </is>
      </c>
      <c r="D4" s="13" t="inlineStr">
        <is>
          <t>감속기어</t>
        </is>
      </c>
      <c r="E4" s="13" t="n">
        <v>120</v>
      </c>
      <c r="F4" s="13" t="n">
        <v>3</v>
      </c>
      <c r="G4" s="14" t="n">
        <v>0.025</v>
      </c>
    </row>
    <row r="5">
      <c r="A5" s="12" t="n">
        <v>46266</v>
      </c>
      <c r="B5" s="13" t="inlineStr">
        <is>
          <t>L0901-B</t>
        </is>
      </c>
      <c r="C5" s="13" t="inlineStr">
        <is>
          <t>B</t>
        </is>
      </c>
      <c r="D5" s="13" t="inlineStr">
        <is>
          <t>구동축</t>
        </is>
      </c>
      <c r="E5" s="13" t="n">
        <v>80</v>
      </c>
      <c r="F5" s="13" t="n">
        <v>1</v>
      </c>
      <c r="G5" s="14" t="n">
        <v>0.0125</v>
      </c>
    </row>
    <row r="6">
      <c r="A6" s="12" t="n">
        <v>46267</v>
      </c>
      <c r="B6" s="13" t="inlineStr">
        <is>
          <t>L0902-A</t>
        </is>
      </c>
      <c r="C6" s="13" t="inlineStr">
        <is>
          <t>A</t>
        </is>
      </c>
      <c r="D6" s="13" t="inlineStr">
        <is>
          <t>밸브블록</t>
        </is>
      </c>
      <c r="E6" s="13" t="n">
        <v>150</v>
      </c>
      <c r="F6" s="13" t="n">
        <v>6</v>
      </c>
      <c r="G6" s="14" t="n">
        <v>0.04</v>
      </c>
    </row>
    <row r="7">
      <c r="A7" s="12" t="n">
        <v>46267</v>
      </c>
      <c r="B7" s="13" t="inlineStr">
        <is>
          <t>L0902-C</t>
        </is>
      </c>
      <c r="C7" s="13" t="inlineStr">
        <is>
          <t>C</t>
        </is>
      </c>
      <c r="D7" s="13" t="inlineStr">
        <is>
          <t>감속기어</t>
        </is>
      </c>
      <c r="E7" s="13" t="n">
        <v>90</v>
      </c>
      <c r="F7" s="13" t="n">
        <v>4</v>
      </c>
      <c r="G7" s="14" t="n">
        <v>0.0444</v>
      </c>
    </row>
    <row r="8">
      <c r="A8" s="12" t="n">
        <v>46268</v>
      </c>
      <c r="B8" s="13" t="inlineStr">
        <is>
          <t>L0903-B</t>
        </is>
      </c>
      <c r="C8" s="13" t="inlineStr">
        <is>
          <t>B</t>
        </is>
      </c>
      <c r="D8" s="13" t="inlineStr">
        <is>
          <t>커플링</t>
        </is>
      </c>
      <c r="E8" s="13" t="n">
        <v>200</v>
      </c>
      <c r="F8" s="13" t="n">
        <v>2</v>
      </c>
      <c r="G8" s="14" t="n">
        <v>0.01</v>
      </c>
    </row>
    <row r="9">
      <c r="A9" s="12" t="n">
        <v>46268</v>
      </c>
      <c r="B9" s="13" t="inlineStr">
        <is>
          <t>L0903-A</t>
        </is>
      </c>
      <c r="C9" s="13" t="inlineStr">
        <is>
          <t>A</t>
        </is>
      </c>
      <c r="D9" s="13" t="inlineStr">
        <is>
          <t>구동축</t>
        </is>
      </c>
      <c r="E9" s="13" t="n">
        <v>100</v>
      </c>
      <c r="F9" s="13" t="n">
        <v>2</v>
      </c>
      <c r="G9" s="14" t="n">
        <v>0.02</v>
      </c>
    </row>
    <row r="10">
      <c r="A10" s="12" t="n">
        <v>46269</v>
      </c>
      <c r="B10" s="13" t="inlineStr">
        <is>
          <t>L0904-C</t>
        </is>
      </c>
      <c r="C10" s="13" t="inlineStr">
        <is>
          <t>C</t>
        </is>
      </c>
      <c r="D10" s="13" t="inlineStr">
        <is>
          <t>밸브블록</t>
        </is>
      </c>
      <c r="E10" s="13" t="n">
        <v>110</v>
      </c>
      <c r="F10" s="13" t="n">
        <v>1</v>
      </c>
      <c r="G10" s="14" t="n">
        <v>0.0091</v>
      </c>
    </row>
    <row r="11">
      <c r="A11" s="12" t="n">
        <v>46269</v>
      </c>
      <c r="B11" s="13" t="inlineStr">
        <is>
          <t>L0904-A</t>
        </is>
      </c>
      <c r="C11" s="13" t="inlineStr">
        <is>
          <t>A</t>
        </is>
      </c>
      <c r="D11" s="13" t="inlineStr">
        <is>
          <t>커플링</t>
        </is>
      </c>
      <c r="E11" s="13" t="n">
        <v>60</v>
      </c>
      <c r="F11" s="13" t="n">
        <v>3</v>
      </c>
      <c r="G11" s="14" t="n">
        <v>0.05</v>
      </c>
    </row>
    <row r="12">
      <c r="A12" s="12" t="n">
        <v>46272</v>
      </c>
      <c r="B12" s="13" t="inlineStr">
        <is>
          <t>L0907-B</t>
        </is>
      </c>
      <c r="C12" s="13" t="inlineStr">
        <is>
          <t>B</t>
        </is>
      </c>
      <c r="D12" s="13" t="inlineStr">
        <is>
          <t>감속기어</t>
        </is>
      </c>
      <c r="E12" s="13" t="n">
        <v>130</v>
      </c>
      <c r="F12" s="13" t="n">
        <v>5</v>
      </c>
      <c r="G12" s="14" t="n">
        <v>0.0385</v>
      </c>
    </row>
    <row r="13">
      <c r="A13" s="12" t="n">
        <v>46272</v>
      </c>
      <c r="B13" s="13" t="inlineStr">
        <is>
          <t>L0907-C</t>
        </is>
      </c>
      <c r="C13" s="13" t="inlineStr">
        <is>
          <t>C</t>
        </is>
      </c>
      <c r="D13" s="13" t="inlineStr">
        <is>
          <t>구동축</t>
        </is>
      </c>
      <c r="E13" s="13" t="n">
        <v>70</v>
      </c>
      <c r="F13" s="13" t="n">
        <v>0</v>
      </c>
      <c r="G13" s="14" t="n">
        <v>0</v>
      </c>
    </row>
    <row r="14">
      <c r="A14" s="12" t="n">
        <v>46273</v>
      </c>
      <c r="B14" s="13" t="inlineStr">
        <is>
          <t>L0908-A</t>
        </is>
      </c>
      <c r="C14" s="13" t="inlineStr">
        <is>
          <t>A</t>
        </is>
      </c>
      <c r="D14" s="13" t="inlineStr">
        <is>
          <t>감속기어</t>
        </is>
      </c>
      <c r="E14" s="13" t="n">
        <v>140</v>
      </c>
      <c r="F14" s="13" t="n">
        <v>1</v>
      </c>
      <c r="G14" s="14" t="n">
        <v>0.0071</v>
      </c>
    </row>
    <row r="15">
      <c r="A15" s="12" t="n">
        <v>46273</v>
      </c>
      <c r="B15" s="13" t="inlineStr">
        <is>
          <t>L0908-B</t>
        </is>
      </c>
      <c r="C15" s="13" t="inlineStr">
        <is>
          <t>B</t>
        </is>
      </c>
      <c r="D15" s="13" t="inlineStr">
        <is>
          <t>밸브블록</t>
        </is>
      </c>
      <c r="E15" s="13" t="n">
        <v>95</v>
      </c>
      <c r="F15" s="13" t="n">
        <v>3</v>
      </c>
      <c r="G15" s="14" t="n">
        <v>0.0316</v>
      </c>
    </row>
  </sheetData>
  <mergeCells count="1">
    <mergeCell ref="A1:G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0" t="inlineStr">
        <is>
          <t>판매 이익 모형</t>
        </is>
      </c>
    </row>
    <row r="3">
      <c r="A3" s="22" t="n"/>
      <c r="B3" s="22" t="inlineStr">
        <is>
          <t>판매 단가</t>
        </is>
      </c>
      <c r="C3" s="22" t="n">
        <v>12000</v>
      </c>
    </row>
    <row r="4">
      <c r="A4" s="22" t="n"/>
      <c r="B4" s="22" t="inlineStr">
        <is>
          <t>판매량</t>
        </is>
      </c>
      <c r="C4" s="22" t="n">
        <v>500</v>
      </c>
    </row>
    <row r="5">
      <c r="A5" s="22" t="n"/>
      <c r="B5" s="22" t="inlineStr">
        <is>
          <t>개당 변동비</t>
        </is>
      </c>
      <c r="C5" s="22" t="n">
        <v>7000</v>
      </c>
    </row>
    <row r="6">
      <c r="A6" s="22" t="n"/>
      <c r="B6" s="22" t="inlineStr">
        <is>
          <t>고정비</t>
        </is>
      </c>
      <c r="C6" s="22" t="n">
        <v>2000000</v>
      </c>
    </row>
    <row r="7">
      <c r="A7" s="22" t="n"/>
      <c r="B7" s="22" t="inlineStr">
        <is>
          <t>이익</t>
        </is>
      </c>
      <c r="C7" s="22">
        <f>C3*C4-(C5*C4+C6)</f>
        <v/>
      </c>
    </row>
    <row r="9">
      <c r="B9" s="16" t="inlineStr">
        <is>
          <t>판매량 ↓ / 판매 단가 →</t>
        </is>
      </c>
    </row>
    <row r="10">
      <c r="B10" s="23">
        <f>C7</f>
        <v/>
      </c>
      <c r="C10" s="24" t="n">
        <v>10000</v>
      </c>
      <c r="D10" s="24" t="n">
        <v>11000</v>
      </c>
      <c r="E10" s="24" t="n">
        <v>12000</v>
      </c>
      <c r="F10" s="24" t="n">
        <v>13000</v>
      </c>
    </row>
    <row r="11">
      <c r="B11" s="24" t="n">
        <v>300</v>
      </c>
      <c r="C11" s="25" t="n"/>
      <c r="D11" s="25" t="n"/>
      <c r="E11" s="25" t="n"/>
      <c r="F11" s="25" t="n"/>
    </row>
    <row r="12">
      <c r="B12" s="24" t="n">
        <v>400</v>
      </c>
      <c r="C12" s="25" t="n"/>
      <c r="D12" s="25" t="n"/>
      <c r="E12" s="25" t="n"/>
      <c r="F12" s="25" t="n"/>
    </row>
    <row r="13">
      <c r="B13" s="24" t="n">
        <v>500</v>
      </c>
      <c r="C13" s="25" t="n"/>
      <c r="D13" s="25" t="n"/>
      <c r="E13" s="25" t="n"/>
      <c r="F13" s="25" t="n"/>
    </row>
    <row r="14">
      <c r="B14" s="24" t="n">
        <v>600</v>
      </c>
      <c r="C14" s="25" t="n"/>
      <c r="D14" s="25" t="n"/>
      <c r="E14" s="25" t="n"/>
      <c r="F14" s="25" t="n"/>
    </row>
    <row r="15">
      <c r="B15" s="24" t="n">
        <v>700</v>
      </c>
      <c r="C15" s="25" t="n"/>
      <c r="D15" s="25" t="n"/>
      <c r="E15" s="25" t="n"/>
      <c r="F15" s="25" t="n"/>
    </row>
  </sheetData>
  <mergeCells count="2">
    <mergeCell ref="B9:E9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26" t="inlineStr">
        <is>
          <t>월별 검사 실적</t>
        </is>
      </c>
    </row>
    <row r="3">
      <c r="A3" s="11" t="inlineStr">
        <is>
          <t>월</t>
        </is>
      </c>
      <c r="B3" s="11" t="inlineStr">
        <is>
          <t>검사수</t>
        </is>
      </c>
      <c r="C3" s="11" t="inlineStr">
        <is>
          <t>불량수</t>
        </is>
      </c>
      <c r="D3" s="11" t="inlineStr">
        <is>
          <t>불량률</t>
        </is>
      </c>
    </row>
    <row r="4">
      <c r="A4" s="13" t="inlineStr">
        <is>
          <t>4월</t>
        </is>
      </c>
      <c r="B4" s="27" t="n">
        <v>1180</v>
      </c>
      <c r="C4" s="27" t="n">
        <v>25</v>
      </c>
      <c r="D4" s="14" t="n">
        <v>0.0212</v>
      </c>
    </row>
    <row r="5">
      <c r="A5" s="13" t="inlineStr">
        <is>
          <t>5월</t>
        </is>
      </c>
      <c r="B5" s="27" t="n">
        <v>1250</v>
      </c>
      <c r="C5" s="27" t="n">
        <v>21</v>
      </c>
      <c r="D5" s="14" t="n">
        <v>0.0168</v>
      </c>
    </row>
    <row r="6">
      <c r="A6" s="13" t="inlineStr">
        <is>
          <t>6월</t>
        </is>
      </c>
      <c r="B6" s="27" t="n">
        <v>1320</v>
      </c>
      <c r="C6" s="27" t="n">
        <v>30</v>
      </c>
      <c r="D6" s="14" t="n">
        <v>0.0227</v>
      </c>
    </row>
    <row r="7">
      <c r="A7" s="13" t="inlineStr">
        <is>
          <t>7월</t>
        </is>
      </c>
      <c r="B7" s="27" t="n">
        <v>1400</v>
      </c>
      <c r="C7" s="27" t="n">
        <v>18</v>
      </c>
      <c r="D7" s="14" t="n">
        <v>0.0129</v>
      </c>
    </row>
    <row r="8">
      <c r="A8" s="13" t="inlineStr">
        <is>
          <t>8월</t>
        </is>
      </c>
      <c r="B8" s="27" t="n">
        <v>1290</v>
      </c>
      <c r="C8" s="27" t="n">
        <v>15</v>
      </c>
      <c r="D8" s="14" t="n">
        <v>0.0116</v>
      </c>
    </row>
    <row r="9">
      <c r="A9" s="13" t="inlineStr">
        <is>
          <t>9월</t>
        </is>
      </c>
      <c r="B9" s="27" t="n">
        <v>1345</v>
      </c>
      <c r="C9" s="27" t="n">
        <v>31</v>
      </c>
      <c r="D9" s="14" t="n">
        <v>0.023</v>
      </c>
    </row>
  </sheetData>
  <printOptions horizontalCentered="1"/>
  <pageMargins left="0.3" right="0.3" top="0.4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 ht="26" customHeight="1">
      <c r="A1" s="10" t="inlineStr">
        <is>
          <t>매크로</t>
        </is>
      </c>
    </row>
    <row r="3">
      <c r="A3" s="11" t="inlineStr">
        <is>
          <t>라인</t>
        </is>
      </c>
      <c r="B3" s="11" t="inlineStr">
        <is>
          <t>검사수</t>
        </is>
      </c>
      <c r="C3" s="11" t="inlineStr">
        <is>
          <t>불량수</t>
        </is>
      </c>
      <c r="D3" s="11" t="inlineStr">
        <is>
          <t>불량률</t>
        </is>
      </c>
    </row>
    <row r="4">
      <c r="A4" s="13" t="inlineStr">
        <is>
          <t>A</t>
        </is>
      </c>
      <c r="B4" s="13" t="n">
        <v>570</v>
      </c>
      <c r="C4" s="13" t="n">
        <v>15</v>
      </c>
      <c r="D4" s="28" t="n"/>
    </row>
    <row r="5">
      <c r="A5" s="13" t="inlineStr">
        <is>
          <t>B</t>
        </is>
      </c>
      <c r="B5" s="13" t="n">
        <v>505</v>
      </c>
      <c r="C5" s="13" t="n">
        <v>11</v>
      </c>
      <c r="D5" s="28" t="n"/>
    </row>
    <row r="6">
      <c r="A6" s="13" t="inlineStr">
        <is>
          <t>C</t>
        </is>
      </c>
      <c r="B6" s="13" t="n">
        <v>270</v>
      </c>
      <c r="C6" s="13" t="n">
        <v>5</v>
      </c>
      <c r="D6" s="28" t="n"/>
    </row>
    <row r="7">
      <c r="A7" s="13" t="inlineStr">
        <is>
          <t>D</t>
        </is>
      </c>
      <c r="B7" s="13" t="n">
        <v>330</v>
      </c>
      <c r="C7" s="13" t="n">
        <v>9</v>
      </c>
      <c r="D7" s="28" t="n"/>
    </row>
    <row r="8">
      <c r="A8" s="13" t="inlineStr">
        <is>
          <t>E</t>
        </is>
      </c>
      <c r="B8" s="13" t="n">
        <v>410</v>
      </c>
      <c r="C8" s="13" t="n">
        <v>4</v>
      </c>
      <c r="D8" s="28" t="n"/>
    </row>
  </sheetData>
  <mergeCells count="1">
    <mergeCell ref="A1:D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 ht="26" customHeight="1">
      <c r="A1" s="10" t="inlineStr">
        <is>
          <t>VBA 프로그래밍</t>
        </is>
      </c>
    </row>
    <row r="3">
      <c r="A3" s="11" t="inlineStr">
        <is>
          <t>검사일</t>
        </is>
      </c>
      <c r="B3" s="11" t="inlineStr">
        <is>
          <t>라인</t>
        </is>
      </c>
      <c r="C3" s="11" t="inlineStr">
        <is>
          <t>제품</t>
        </is>
      </c>
      <c r="D3" s="11" t="inlineStr">
        <is>
          <t>검사수</t>
        </is>
      </c>
      <c r="E3" s="11" t="inlineStr">
        <is>
          <t>불량수</t>
        </is>
      </c>
    </row>
    <row r="4">
      <c r="A4" s="12" t="n">
        <v>46266</v>
      </c>
      <c r="B4" s="13" t="inlineStr">
        <is>
          <t>A</t>
        </is>
      </c>
      <c r="C4" s="13" t="inlineStr">
        <is>
          <t>감속기어</t>
        </is>
      </c>
      <c r="D4" s="13" t="n">
        <v>120</v>
      </c>
      <c r="E4" s="13" t="n">
        <v>3</v>
      </c>
    </row>
    <row r="5">
      <c r="A5" s="12" t="n">
        <v>46267</v>
      </c>
      <c r="B5" s="13" t="inlineStr">
        <is>
          <t>B</t>
        </is>
      </c>
      <c r="C5" s="13" t="inlineStr">
        <is>
          <t>구동축</t>
        </is>
      </c>
      <c r="D5" s="13" t="n">
        <v>80</v>
      </c>
      <c r="E5" s="13" t="n">
        <v>1</v>
      </c>
    </row>
    <row r="6">
      <c r="A6" s="12" t="n">
        <v>46268</v>
      </c>
      <c r="B6" s="13" t="inlineStr">
        <is>
          <t>C</t>
        </is>
      </c>
      <c r="C6" s="13" t="inlineStr">
        <is>
          <t>밸브블록</t>
        </is>
      </c>
      <c r="D6" s="13" t="n">
        <v>150</v>
      </c>
      <c r="E6" s="13" t="n">
        <v>6</v>
      </c>
    </row>
  </sheetData>
  <mergeCells count="1"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D29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7" customWidth="1" min="3" max="3"/>
    <col width="9" customWidth="1" min="4" max="4"/>
    <col width="9" customWidth="1" min="5" max="5"/>
    <col width="40" customWidth="1" min="6" max="6"/>
    <col width="8" customWidth="1" min="7" max="7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</cols>
  <sheetData>
    <row r="1" ht="26" customHeight="1">
      <c r="A1" s="10" t="inlineStr">
        <is>
          <t>채점표 — 1급 제1회 (자동 칸은 저절로, '스스로' 칸은 G열에 O / X)</t>
        </is>
      </c>
    </row>
    <row r="3" ht="24" customHeight="1">
      <c r="A3" s="29" t="inlineStr">
        <is>
          <t>작업</t>
        </is>
      </c>
      <c r="B3" s="29" t="inlineStr">
        <is>
          <t>문항</t>
        </is>
      </c>
      <c r="C3" s="29" t="inlineStr">
        <is>
          <t>배점</t>
        </is>
      </c>
      <c r="D3" s="29" t="inlineStr">
        <is>
          <t>방식</t>
        </is>
      </c>
      <c r="E3" s="29" t="inlineStr">
        <is>
          <t>점수</t>
        </is>
      </c>
      <c r="F3" s="29" t="inlineStr">
        <is>
          <t>확인 방법</t>
        </is>
      </c>
      <c r="G3" s="29" t="inlineStr">
        <is>
          <t>O / X</t>
        </is>
      </c>
    </row>
    <row r="4" ht="30" customHeight="1">
      <c r="A4" s="13" t="inlineStr">
        <is>
          <t>기본작업-1</t>
        </is>
      </c>
      <c r="B4" s="30" t="inlineStr">
        <is>
          <t>1. 고급 필터 (결과 4행)</t>
        </is>
      </c>
      <c r="C4" s="13" t="n">
        <v>5</v>
      </c>
      <c r="D4" s="13" t="inlineStr">
        <is>
          <t>자동</t>
        </is>
      </c>
      <c r="E4" s="31">
        <f>IF(AND(SUMPRODUCT(--('기본작업-1'!$A$20:$D$24&amp;""='채점표'!$AA$4:$AD$8&amp;""))=20,COUNTA('기본작업-1'!$A$25:$D$25)=0),5,0)</f>
        <v/>
      </c>
      <c r="F4" s="32" t="inlineStr">
        <is>
          <t>자동 — A20 부터 필드 이름 + 4행 정확히</t>
        </is>
      </c>
      <c r="AA4" t="inlineStr">
        <is>
          <t>로트번호</t>
        </is>
      </c>
      <c r="AB4" t="inlineStr">
        <is>
          <t>제품</t>
        </is>
      </c>
      <c r="AC4" t="inlineStr">
        <is>
          <t>불량수</t>
        </is>
      </c>
      <c r="AD4" t="inlineStr">
        <is>
          <t>불량률</t>
        </is>
      </c>
    </row>
    <row r="5" ht="46" customHeight="1">
      <c r="A5" s="13" t="inlineStr">
        <is>
          <t>기본작업-1</t>
        </is>
      </c>
      <c r="B5" s="30" t="inlineStr">
        <is>
          <t>2. 조건부 서식 — 불량수 3 이상(평균 2.58 이상)인 6행이 노랑 — 수식 =$F4&gt;=AVERAGE($F$4:$F$15)</t>
        </is>
      </c>
      <c r="C5" s="13" t="n">
        <v>5</v>
      </c>
      <c r="D5" s="13" t="inlineStr">
        <is>
          <t>스스로</t>
        </is>
      </c>
      <c r="E5" s="33">
        <f>IF(G5="O",C5,0)</f>
        <v/>
      </c>
      <c r="F5" s="32" t="inlineStr">
        <is>
          <t>[홈] → [조건부 서식] → [규칙 관리] 에서 수식 확인</t>
        </is>
      </c>
      <c r="G5" s="34" t="n"/>
      <c r="AA5" t="inlineStr">
        <is>
          <t>L0901-A</t>
        </is>
      </c>
      <c r="AB5" t="inlineStr">
        <is>
          <t>감속기어</t>
        </is>
      </c>
      <c r="AC5" t="n">
        <v>3</v>
      </c>
      <c r="AD5" t="n">
        <v>0.025</v>
      </c>
    </row>
    <row r="6" ht="30" customHeight="1">
      <c r="A6" s="13" t="inlineStr">
        <is>
          <t>기본작업-2</t>
        </is>
      </c>
      <c r="B6" s="30" t="inlineStr">
        <is>
          <t>3. 페이지 레이아웃 — 문제 조건 모두</t>
        </is>
      </c>
      <c r="C6" s="13" t="n">
        <v>5</v>
      </c>
      <c r="D6" s="13" t="inlineStr">
        <is>
          <t>스스로</t>
        </is>
      </c>
      <c r="E6" s="33">
        <f>IF(G6="O",C6,0)</f>
        <v/>
      </c>
      <c r="F6" s="32" t="inlineStr">
        <is>
          <t>[페이지 레이아웃] → [페이지 설정] 에서 가로·가로 가운데·인쇄 제목 $3:$3·바닥글 &amp;[페이지] / &amp;[전체 페이지 수]</t>
        </is>
      </c>
      <c r="G6" s="34" t="n"/>
      <c r="AA6" t="inlineStr">
        <is>
          <t>L0902-A</t>
        </is>
      </c>
      <c r="AB6" t="inlineStr">
        <is>
          <t>밸브블록</t>
        </is>
      </c>
      <c r="AC6" t="n">
        <v>6</v>
      </c>
      <c r="AD6" t="n">
        <v>0.04</v>
      </c>
    </row>
    <row r="7" ht="30" customHeight="1">
      <c r="A7" s="13" t="inlineStr">
        <is>
          <t>계산작업</t>
        </is>
      </c>
      <c r="B7" s="30" t="inlineStr">
        <is>
          <t>1. [표1] 라인별 불량수 합계 [H3:H5]</t>
        </is>
      </c>
      <c r="C7" s="13" t="n">
        <v>6</v>
      </c>
      <c r="D7" s="13" t="inlineStr">
        <is>
          <t>자동</t>
        </is>
      </c>
      <c r="E7" s="31">
        <f>IF(COUNTIF('계산작업'!$AB$3:$AB$5,TRUE)=3,6,0)</f>
        <v/>
      </c>
      <c r="F7" s="32" t="inlineStr">
        <is>
          <t>자동 — 3칸 모두 맞아야 6점</t>
        </is>
      </c>
      <c r="AA7" t="inlineStr">
        <is>
          <t>L0903-A</t>
        </is>
      </c>
      <c r="AB7" t="inlineStr">
        <is>
          <t>구동축</t>
        </is>
      </c>
      <c r="AC7" t="n">
        <v>2</v>
      </c>
      <c r="AD7" t="n">
        <v>0.02</v>
      </c>
    </row>
    <row r="8" ht="30" customHeight="1">
      <c r="A8" s="13" t="inlineStr">
        <is>
          <t>계산작업</t>
        </is>
      </c>
      <c r="B8" s="30" t="inlineStr">
        <is>
          <t>2. [표2] 로트 판정 [E15:E22]</t>
        </is>
      </c>
      <c r="C8" s="13" t="n">
        <v>6</v>
      </c>
      <c r="D8" s="13" t="inlineStr">
        <is>
          <t>자동</t>
        </is>
      </c>
      <c r="E8" s="31">
        <f>IF(COUNTIF('계산작업'!$AB$15:$AB$22,TRUE)=8,6,0)</f>
        <v/>
      </c>
      <c r="F8" s="32" t="inlineStr">
        <is>
          <t>자동 — 8칸 모두 맞아야 6점</t>
        </is>
      </c>
      <c r="AA8" t="inlineStr">
        <is>
          <t>L0904-A</t>
        </is>
      </c>
      <c r="AB8" t="inlineStr">
        <is>
          <t>커플링</t>
        </is>
      </c>
      <c r="AC8" t="n">
        <v>3</v>
      </c>
      <c r="AD8" t="n">
        <v>0.05</v>
      </c>
    </row>
    <row r="9" ht="30" customHeight="1">
      <c r="A9" s="13" t="inlineStr">
        <is>
          <t>계산작업</t>
        </is>
      </c>
      <c r="B9" s="30" t="inlineStr">
        <is>
          <t>3. [표3] 라인·월별 가동률 조회 [H27:H30]</t>
        </is>
      </c>
      <c r="C9" s="13" t="n">
        <v>6</v>
      </c>
      <c r="D9" s="13" t="inlineStr">
        <is>
          <t>자동</t>
        </is>
      </c>
      <c r="E9" s="31">
        <f>IF(COUNTIF('계산작업'!$AB$27:$AB$30,TRUE)=4,6,0)</f>
        <v/>
      </c>
      <c r="F9" s="32" t="inlineStr">
        <is>
          <t>자동 — 4칸 모두 맞아야 6점</t>
        </is>
      </c>
    </row>
    <row r="10" ht="30" customHeight="1">
      <c r="A10" s="13" t="inlineStr">
        <is>
          <t>계산작업</t>
        </is>
      </c>
      <c r="B10" s="30" t="inlineStr">
        <is>
          <t>4. [표4] 라인·제품별 검사 건수 [F35:F37]</t>
        </is>
      </c>
      <c r="C10" s="13" t="n">
        <v>6</v>
      </c>
      <c r="D10" s="13" t="inlineStr">
        <is>
          <t>자동</t>
        </is>
      </c>
      <c r="E10" s="31">
        <f>IF(COUNTIF('계산작업'!$AB$35:$AB$37,TRUE)=3,6,0)</f>
        <v/>
      </c>
      <c r="F10" s="32" t="inlineStr">
        <is>
          <t>자동 — 3칸 모두 맞아야 6점</t>
        </is>
      </c>
      <c r="AA10" t="n">
        <v>-1100000</v>
      </c>
      <c r="AB10" t="n">
        <v>-800000</v>
      </c>
      <c r="AC10" t="n">
        <v>-500000</v>
      </c>
      <c r="AD10" t="n">
        <v>-200000</v>
      </c>
    </row>
    <row r="11" ht="30" customHeight="1">
      <c r="A11" s="13" t="inlineStr">
        <is>
          <t>계산작업</t>
        </is>
      </c>
      <c r="B11" s="30" t="inlineStr">
        <is>
          <t>5. [표5] 품질 등급 (사용자 정의 함수) [C47:C52]</t>
        </is>
      </c>
      <c r="C11" s="13" t="n">
        <v>6</v>
      </c>
      <c r="D11" s="13" t="inlineStr">
        <is>
          <t>자동</t>
        </is>
      </c>
      <c r="E11" s="31">
        <f>IF(COUNTIF('계산작업'!$AB$47:$AB$52,TRUE)=6,6,0)</f>
        <v/>
      </c>
      <c r="F11" s="32" t="inlineStr">
        <is>
          <t>자동 — 6칸 모두 맞아야 6점 (함수를 만든 뒤 =fn…() 로 계산한 결과로 채점)</t>
        </is>
      </c>
      <c r="AA11" t="n">
        <v>-800000</v>
      </c>
      <c r="AB11" t="n">
        <v>-400000</v>
      </c>
      <c r="AC11" t="n">
        <v>0</v>
      </c>
      <c r="AD11" t="n">
        <v>400000</v>
      </c>
    </row>
    <row r="12" ht="30" customHeight="1">
      <c r="A12" s="13" t="inlineStr">
        <is>
          <t>분석작업-1</t>
        </is>
      </c>
      <c r="B12" s="30" t="inlineStr">
        <is>
          <t>피벗 1) J3 에서 시작, 행에 제품 4개, 열에 라인 A·B·C</t>
        </is>
      </c>
      <c r="C12" s="13" t="n">
        <v>4</v>
      </c>
      <c r="D12" s="13" t="inlineStr">
        <is>
          <t>스스로</t>
        </is>
      </c>
      <c r="E12" s="33">
        <f>IF(G12="O",C12,0)</f>
        <v/>
      </c>
      <c r="F12" s="32" t="inlineStr">
        <is>
          <t>피벗 표를 보고 확인</t>
        </is>
      </c>
      <c r="G12" s="34" t="n"/>
      <c r="AA12" t="n">
        <v>-500000</v>
      </c>
      <c r="AB12" t="n">
        <v>0</v>
      </c>
      <c r="AC12" t="n">
        <v>500000</v>
      </c>
      <c r="AD12" t="n">
        <v>1000000</v>
      </c>
    </row>
    <row r="13" ht="30" customHeight="1">
      <c r="A13" s="13" t="inlineStr">
        <is>
          <t>분석작업-1</t>
        </is>
      </c>
      <c r="B13" s="30" t="inlineStr">
        <is>
          <t>피벗 2) 제품마다 '합계 : 불량수' · '합계 : 검사수' 두 줄 (Σ 값이 행 영역)</t>
        </is>
      </c>
      <c r="C13" s="13" t="n">
        <v>3</v>
      </c>
      <c r="D13" s="13" t="inlineStr">
        <is>
          <t>스스로</t>
        </is>
      </c>
      <c r="E13" s="33">
        <f>IF(G13="O",C13,0)</f>
        <v/>
      </c>
      <c r="F13" s="32" t="inlineStr">
        <is>
          <t>피벗 표를 보고 확인</t>
        </is>
      </c>
      <c r="G13" s="34" t="n"/>
      <c r="AA13" t="n">
        <v>-200000</v>
      </c>
      <c r="AB13" t="n">
        <v>400000</v>
      </c>
      <c r="AC13" t="n">
        <v>1000000</v>
      </c>
      <c r="AD13" t="n">
        <v>1600000</v>
      </c>
    </row>
    <row r="14" ht="30" customHeight="1">
      <c r="A14" s="13" t="inlineStr">
        <is>
          <t>분석작업-1</t>
        </is>
      </c>
      <c r="B14" s="30" t="inlineStr">
        <is>
          <t>피벗 3) 총합계: 불량수 31 · 검사수 1,345, 레이아웃 '개요 형식'</t>
        </is>
      </c>
      <c r="C14" s="13" t="n">
        <v>3</v>
      </c>
      <c r="D14" s="13" t="inlineStr">
        <is>
          <t>스스로</t>
        </is>
      </c>
      <c r="E14" s="33">
        <f>IF(G14="O",C14,0)</f>
        <v/>
      </c>
      <c r="F14" s="32" t="inlineStr">
        <is>
          <t>피벗 표를 보고 확인</t>
        </is>
      </c>
      <c r="G14" s="34" t="n"/>
      <c r="AA14" t="n">
        <v>100000</v>
      </c>
      <c r="AB14" t="n">
        <v>800000</v>
      </c>
      <c r="AC14" t="n">
        <v>1500000</v>
      </c>
      <c r="AD14" t="n">
        <v>2200000</v>
      </c>
    </row>
    <row r="15" ht="30" customHeight="1">
      <c r="A15" s="13" t="inlineStr">
        <is>
          <t>분석작업-2</t>
        </is>
      </c>
      <c r="B15" s="30" t="inlineStr">
        <is>
          <t>데이터 표 — [C11:F15] 이익 20칸</t>
        </is>
      </c>
      <c r="C15" s="13" t="n">
        <v>10</v>
      </c>
      <c r="D15" s="13" t="inlineStr">
        <is>
          <t>자동</t>
        </is>
      </c>
      <c r="E15" s="31">
        <f>IF(SUMPRODUCT(--('분석작업-2'!$C$11:$F$15='채점표'!$AA$10:$AD$14))=20,10,0)</f>
        <v/>
      </c>
      <c r="F15" s="32" t="inlineStr">
        <is>
          <t>자동</t>
        </is>
      </c>
    </row>
    <row r="16" ht="30" customHeight="1">
      <c r="A16" s="13" t="inlineStr">
        <is>
          <t>기타작업-1</t>
        </is>
      </c>
      <c r="B16" s="30" t="inlineStr">
        <is>
          <t>차트 1) '불량수' 계열을 삭제하고 '불량률' 계열을 추가하시오</t>
        </is>
      </c>
      <c r="C16" s="13" t="n">
        <v>2</v>
      </c>
      <c r="D16" s="13" t="inlineStr">
        <is>
          <t>스스로</t>
        </is>
      </c>
      <c r="E16" s="33">
        <f>IF(G16="O",C16,0)</f>
        <v/>
      </c>
      <c r="F16" s="32" t="inlineStr">
        <is>
          <t>범례에 검사수·불량률</t>
        </is>
      </c>
      <c r="G16" s="34" t="n"/>
    </row>
    <row r="17" ht="30" customHeight="1">
      <c r="A17" s="13" t="inlineStr">
        <is>
          <t>기타작업-1</t>
        </is>
      </c>
      <c r="B17" s="30" t="inlineStr">
        <is>
          <t>차트 2) '불량률' 계열을 '표식이 있는 꺾은선형' 으로, 보조 축에 표시하시오</t>
        </is>
      </c>
      <c r="C17" s="13" t="n">
        <v>2</v>
      </c>
      <c r="D17" s="13" t="inlineStr">
        <is>
          <t>스스로</t>
        </is>
      </c>
      <c r="E17" s="33">
        <f>IF(G17="O",C17,0)</f>
        <v/>
      </c>
      <c r="F17" s="32" t="inlineStr">
        <is>
          <t>오른쪽에 % 축</t>
        </is>
      </c>
      <c r="G17" s="34" t="n"/>
    </row>
    <row r="18" ht="30" customHeight="1">
      <c r="A18" s="13" t="inlineStr">
        <is>
          <t>기타작업-1</t>
        </is>
      </c>
      <c r="B18" s="30" t="inlineStr">
        <is>
          <t>차트 3) 보조 세로(값) 축의 최소값 0, 최대값 0.03, 표시 형식 '백분율' 소수 1자리</t>
        </is>
      </c>
      <c r="C18" s="13" t="n">
        <v>2</v>
      </c>
      <c r="D18" s="13" t="inlineStr">
        <is>
          <t>스스로</t>
        </is>
      </c>
      <c r="E18" s="33">
        <f>IF(G18="O",C18,0)</f>
        <v/>
      </c>
      <c r="F18" s="32" t="inlineStr">
        <is>
          <t>보조 축 0.0% ~ 3.0%</t>
        </is>
      </c>
      <c r="G18" s="34" t="n"/>
    </row>
    <row r="19" ht="30" customHeight="1">
      <c r="A19" s="13" t="inlineStr">
        <is>
          <t>기타작업-1</t>
        </is>
      </c>
      <c r="B19" s="30" t="inlineStr">
        <is>
          <t>차트 4) 차트 제목을 셀 [A1] 과 연결하고, 차트 스타일 '스타일 6' 을 적용하시오</t>
        </is>
      </c>
      <c r="C19" s="13" t="n">
        <v>2</v>
      </c>
      <c r="D19" s="13" t="inlineStr">
        <is>
          <t>스스로</t>
        </is>
      </c>
      <c r="E19" s="33">
        <f>IF(G19="O",C19,0)</f>
        <v/>
      </c>
      <c r="F19" s="32" t="inlineStr">
        <is>
          <t>제목 수식 ='기타작업-1'!$A$1</t>
        </is>
      </c>
      <c r="G19" s="34" t="n"/>
    </row>
    <row r="20" ht="30" customHeight="1">
      <c r="A20" s="13" t="inlineStr">
        <is>
          <t>기타작업-1</t>
        </is>
      </c>
      <c r="B20" s="30" t="inlineStr">
        <is>
          <t>차트 5) '불량률' 계열의 '9월' 요소에만 데이터 레이블 '값' 을 '위쪽' 에 표시하시오</t>
        </is>
      </c>
      <c r="C20" s="13" t="n">
        <v>2</v>
      </c>
      <c r="D20" s="13" t="inlineStr">
        <is>
          <t>스스로</t>
        </is>
      </c>
      <c r="E20" s="33">
        <f>IF(G20="O",C20,0)</f>
        <v/>
      </c>
      <c r="F20" s="32" t="inlineStr">
        <is>
          <t>9월 점 위에만 2.3%</t>
        </is>
      </c>
      <c r="G20" s="34" t="n"/>
    </row>
    <row r="21" ht="46" customHeight="1">
      <c r="A21" s="13" t="inlineStr">
        <is>
          <t>기타작업-2</t>
        </is>
      </c>
      <c r="B21" s="30" t="inlineStr">
        <is>
          <t>매크로 1) [D4:D8] 에 불량률(불량수÷검사수)을 구하는 '불량률' 매크로 — [F3:G4] 영역에 '단추'(양식 컨트롤, 텍스트 '불량률')를 그려 연결</t>
        </is>
      </c>
      <c r="C21" s="13" t="n">
        <v>5</v>
      </c>
      <c r="D21" s="13" t="inlineStr">
        <is>
          <t>스스로</t>
        </is>
      </c>
      <c r="E21" s="33">
        <f>IF(G21="O",C21,0)</f>
        <v/>
      </c>
      <c r="F21" s="32" t="inlineStr">
        <is>
          <t>D4 에 =C4/B4</t>
        </is>
      </c>
      <c r="G21" s="34" t="n"/>
    </row>
    <row r="22" ht="46" customHeight="1">
      <c r="A22" s="13" t="inlineStr">
        <is>
          <t>기타작업-2</t>
        </is>
      </c>
      <c r="B22" s="30" t="inlineStr">
        <is>
          <t>매크로 2) [D4:D8] 에 표시 형식 '백분율' 소수 1자리를 적용하는 '서식' 매크로 — [F6:G7] 영역에 도형 '사각형: 둥근 모서리'(텍스트 '서식')를 그려 연결</t>
        </is>
      </c>
      <c r="C22" s="13" t="n">
        <v>5</v>
      </c>
      <c r="D22" s="13" t="inlineStr">
        <is>
          <t>스스로</t>
        </is>
      </c>
      <c r="E22" s="33">
        <f>IF(G22="O",C22,0)</f>
        <v/>
      </c>
      <c r="F22" s="32" t="inlineStr">
        <is>
          <t>도형을 누르면 2.6%</t>
        </is>
      </c>
      <c r="G22" s="34" t="n"/>
    </row>
    <row r="23" ht="46" customHeight="1">
      <c r="A23" s="13" t="inlineStr">
        <is>
          <t>기타작업-3</t>
        </is>
      </c>
      <c r="B23" s="30" t="inlineStr">
        <is>
          <t>VBA 1) [H3] 위치에 단추(텍스트 '입력')를 만들고, 누르면 InputBox 로 라인·제품·검사수·불량수를 차례로 받아 표의 마지막 행 다음 줄에 입력하는 '검사입력' 프로시저를 연결하시오. (검사일은 Date 로 오늘 날짜)</t>
        </is>
      </c>
      <c r="C23" s="13" t="n">
        <v>5</v>
      </c>
      <c r="D23" s="13" t="inlineStr">
        <is>
          <t>스스로</t>
        </is>
      </c>
      <c r="E23" s="33">
        <f>IF(G23="O",C23,0)</f>
        <v/>
      </c>
      <c r="F23" s="32" t="inlineStr">
        <is>
          <t>단추를 누르고 값 4개를 넣으면 7행에 새 줄</t>
        </is>
      </c>
      <c r="G23" s="34" t="n"/>
    </row>
    <row r="24" ht="46" customHeight="1">
      <c r="A24" s="13" t="inlineStr">
        <is>
          <t>기타작업-3</t>
        </is>
      </c>
      <c r="B24" s="30" t="inlineStr">
        <is>
          <t>VBA 2) [기타작업-3] 시트를 선택(Activate)할 때마다 [H1] 셀에 '오늘 날짜: 2026-09-28' 처럼 표시되는 이벤트 프로시저를 작성하시오.</t>
        </is>
      </c>
      <c r="C24" s="13" t="n">
        <v>5</v>
      </c>
      <c r="D24" s="13" t="inlineStr">
        <is>
          <t>스스로</t>
        </is>
      </c>
      <c r="E24" s="33">
        <f>IF(G24="O",C24,0)</f>
        <v/>
      </c>
      <c r="F24" s="32" t="inlineStr">
        <is>
          <t>다른 시트에 갔다 오면 H1 이 바뀜 (시트 모듈에 작성)</t>
        </is>
      </c>
      <c r="G24" s="34" t="n"/>
    </row>
    <row r="25" ht="46" customHeight="1">
      <c r="A25" s="13" t="inlineStr">
        <is>
          <t>기타작업-3</t>
        </is>
      </c>
      <c r="B25" s="30" t="inlineStr">
        <is>
          <t>VBA 3) [H6] 위치에 단추(텍스트 '종료')를 만들고, 누르면 '검사 기록을 마칩니다.' 메시지를 보여 준 뒤 통합 문서를 저장하는 '종료' 프로시저를 연결하시오.</t>
        </is>
      </c>
      <c r="C25" s="13" t="n">
        <v>5</v>
      </c>
      <c r="D25" s="13" t="inlineStr">
        <is>
          <t>스스로</t>
        </is>
      </c>
      <c r="E25" s="33">
        <f>IF(G25="O",C25,0)</f>
        <v/>
      </c>
      <c r="F25" s="32" t="inlineStr">
        <is>
          <t>메시지 뒤 저장됨</t>
        </is>
      </c>
      <c r="G25" s="34" t="n"/>
    </row>
    <row r="27">
      <c r="B27" s="35" t="inlineStr">
        <is>
          <t>합계 (100점 만점 · 70점 이상 합격)</t>
        </is>
      </c>
      <c r="E27" s="36">
        <f>SUM(E4:E25)</f>
        <v/>
      </c>
      <c r="F27" s="35">
        <f>IF(E27&gt;=70,"🎉 합격","불합격 — 틀린 작업의 [정답·해설]을 보세요")</f>
        <v/>
      </c>
    </row>
    <row r="29" ht="30" customHeight="1">
      <c r="A29" s="6" t="inlineStr">
        <is>
          <t>'스스로' 문항은 [확인 방법] 을 보고 실제로 그렇게 되어 있으면 O. 한 군데라도 다르면 X (실제 시험은 부분 점수 없음).</t>
        </is>
      </c>
    </row>
  </sheetData>
  <mergeCells count="2">
    <mergeCell ref="A1:G1"/>
    <mergeCell ref="A29:G29"/>
  </mergeCells>
  <dataValidations count="1">
    <dataValidation sqref="G5 G6 G12 G13 G14 G16 G17 G18 G19 G20 G21 G22 G23 G24 G25" showDropDown="0" showInputMessage="0" showErrorMessage="0" allowBlank="1" type="list">
      <formula1>"O,X"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76" customWidth="1" min="3" max="3"/>
  </cols>
  <sheetData>
    <row r="1" ht="26" customHeight="1">
      <c r="A1" s="10" t="inlineStr">
        <is>
          <t>정답·해설 — 1급 제1회 (먼저 끝까지 풀고 보세요)</t>
        </is>
      </c>
    </row>
    <row r="3" ht="24" customHeight="1">
      <c r="A3" s="29" t="inlineStr">
        <is>
          <t>작업</t>
        </is>
      </c>
      <c r="B3" s="29" t="inlineStr">
        <is>
          <t>무엇을</t>
        </is>
      </c>
      <c r="C3" s="29" t="inlineStr">
        <is>
          <t>어떻게 · 정답</t>
        </is>
      </c>
    </row>
    <row r="4" ht="30" customHeight="1">
      <c r="A4" s="37" t="inlineStr">
        <is>
          <t>기본작업-1</t>
        </is>
      </c>
      <c r="B4" s="30" t="inlineStr">
        <is>
          <t>고급 필터</t>
        </is>
      </c>
      <c r="C4" s="30" t="inlineStr">
        <is>
          <t>A17 '라인' · B17 '불량률' / A18 'A' · B18 '&gt;=0.02' → [데이터]→[고급] '다른 장소에 복사', 복사 위치에는 A20:D20 에 미리 적어 둔 네 필드 이름을 지정</t>
        </is>
      </c>
    </row>
    <row r="5" ht="22" customHeight="1">
      <c r="A5" s="37" t="inlineStr">
        <is>
          <t>기본작업-1</t>
        </is>
      </c>
      <c r="B5" s="30" t="inlineStr">
        <is>
          <t>조건부 서식</t>
        </is>
      </c>
      <c r="C5" s="30" t="inlineStr">
        <is>
          <t>불량수 3 이상(평균 2.58 이상)인 6행이 노랑 — 수식 =$F4&gt;=AVERAGE($F$4:$F$15)</t>
        </is>
      </c>
    </row>
    <row r="6" ht="22" customHeight="1">
      <c r="A6" s="37" t="inlineStr">
        <is>
          <t>기본작업-2</t>
        </is>
      </c>
      <c r="B6" s="30" t="inlineStr">
        <is>
          <t>페이지 레이아웃</t>
        </is>
      </c>
      <c r="C6" s="30" t="inlineStr">
        <is>
          <t>[페이지 레이아웃] → [페이지 설정] 에서 가로·가로 가운데·인쇄 제목 $3:$3·바닥글 &amp;[페이지] / &amp;[전체 페이지 수]</t>
        </is>
      </c>
    </row>
    <row r="7" ht="22" customHeight="1">
      <c r="A7" s="37" t="inlineStr">
        <is>
          <t>계산작업</t>
        </is>
      </c>
      <c r="B7" s="30" t="inlineStr">
        <is>
          <t>1. [표1] 라인별 불량수 합계 → [H3:H5]</t>
        </is>
      </c>
      <c r="C7" s="38" t="inlineStr">
        <is>
          <t>=SUM(($B$3:$B$10=G3)*$D$3:$D$10)   {배열: Ctrl+Shift+Enter}   (첫 칸에 넣고 끝까지 끌어내리기)</t>
        </is>
      </c>
    </row>
    <row r="8" ht="22" customHeight="1">
      <c r="A8" s="37" t="inlineStr">
        <is>
          <t>계산작업</t>
        </is>
      </c>
      <c r="B8" s="30" t="inlineStr">
        <is>
          <t>2. [표2] 로트 판정 → [E15:E22]</t>
        </is>
      </c>
      <c r="C8" s="38" t="inlineStr">
        <is>
          <t>=IF(AND(B15&gt;=100,D15&lt;=2%),"합격","재검")   (첫 칸에 넣고 끝까지 끌어내리기)</t>
        </is>
      </c>
    </row>
    <row r="9" ht="30" customHeight="1">
      <c r="A9" s="37" t="inlineStr">
        <is>
          <t>계산작업</t>
        </is>
      </c>
      <c r="B9" s="30" t="inlineStr">
        <is>
          <t>3. [표3] 라인·월별 가동률 조회 → [H27:H30]</t>
        </is>
      </c>
      <c r="C9" s="38" t="inlineStr">
        <is>
          <t>=INDEX($B$27:$D$30,MATCH(F27,$A$27:$A$30,0),MATCH(G27,$B$26:$D$26,0))   (첫 칸에 넣고 끝까지 끌어내리기)</t>
        </is>
      </c>
    </row>
    <row r="10" ht="22" customHeight="1">
      <c r="A10" s="37" t="inlineStr">
        <is>
          <t>계산작업</t>
        </is>
      </c>
      <c r="B10" s="30" t="inlineStr">
        <is>
          <t>4. [표4] 라인·제품별 검사 건수 → [F35:F37]</t>
        </is>
      </c>
      <c r="C10" s="38" t="inlineStr">
        <is>
          <t>=COUNTIFS($A$35:$A$42,D35,$B$35:$B$42,E35)&amp;"건"   (첫 칸에 넣고 끝까지 끌어내리기)</t>
        </is>
      </c>
    </row>
    <row r="11" ht="225" customHeight="1">
      <c r="A11" s="37" t="inlineStr">
        <is>
          <t>계산작업</t>
        </is>
      </c>
      <c r="B11" s="30" t="inlineStr">
        <is>
          <t>5. [표5] 품질 등급 (사용자 정의 함수)</t>
        </is>
      </c>
      <c r="C11" s="38" t="inlineStr">
        <is>
          <t>[개발 도구] → [Visual Basic] → [삽입] → [모듈] 에 입력:
Public Function fn등급(불량률)
    If 불량률 &lt;= 0.01 Then
        fn등급 = "우수"
    ElseIf 불량률 &lt;= 0.03 Then
        fn등급 = "보통"
    Else
        fn등급 = "관리"
    End If
End Function
그다음 C47 에 =fn등급(B47) 를 넣고 C52 까지 끌어내리기</t>
        </is>
      </c>
    </row>
    <row r="12" ht="75" customHeight="1">
      <c r="A12" s="37" t="inlineStr">
        <is>
          <t>분석작업-1</t>
        </is>
      </c>
      <c r="B12" s="30" t="inlineStr">
        <is>
          <t>피벗 테이블</t>
        </is>
      </c>
      <c r="C12" s="30" t="inlineStr">
        <is>
          <t>표 안 → [삽입] → [피벗 테이블] → 기존 워크시트 J3
제품 → 행, 라인 → 열, 불량수·검사수 → 값
열 영역의 'Σ 값' 을 행 영역으로 끌어 옮김
[디자인] → [보고서 레이아웃] → '개요 형식으로 표시'</t>
        </is>
      </c>
    </row>
    <row r="13" ht="60" customHeight="1">
      <c r="A13" s="37" t="inlineStr">
        <is>
          <t>분석작업-2</t>
        </is>
      </c>
      <c r="B13" s="30" t="inlineStr">
        <is>
          <t>[분석작업-2] 시트에서 [데이터 표] 기능으로 판매 단가[C3]와 판매량[C4]의 변화에 따른 이익을 [C11:F15] 영역에 계산하시오.</t>
        </is>
      </c>
      <c r="C13" s="30" t="inlineStr">
        <is>
          <t>B10 에 =C7 (이익 셀) 이 이미 들어 있음 → B10:F15 선택
[데이터] → [가상 분석] → [데이터 표]
행 입력 셀 C3 · 열 입력 셀 C4 → 확인</t>
        </is>
      </c>
    </row>
    <row r="14" ht="180" customHeight="1">
      <c r="A14" s="37" t="inlineStr">
        <is>
          <t>기타작업-3</t>
        </is>
      </c>
      <c r="B14" s="30" t="inlineStr">
        <is>
          <t>1) [H3] 위치에 단추</t>
        </is>
      </c>
      <c r="C14" s="38" t="inlineStr">
        <is>
          <t>Sub 검사입력()
    Dim r As Long
    r = Range("A3").CurrentRegion.Rows.Count + 3
    Cells(r, 1) = Date
    Cells(r, 2) = InputBox("라인")
    Cells(r, 3) = InputBox("제품")
    Cells(r, 4) = Val(InputBox("검사수"))
    Cells(r, 5) = Val(InputBox("불량수"))
End Sub</t>
        </is>
      </c>
    </row>
    <row r="15" ht="60" customHeight="1">
      <c r="A15" s="37" t="inlineStr">
        <is>
          <t>기타작업-3</t>
        </is>
      </c>
      <c r="B15" s="30" t="inlineStr">
        <is>
          <t>2) [기타작업-3] 시트를 선택</t>
        </is>
      </c>
      <c r="C15" s="38" t="inlineStr">
        <is>
          <t>Private Sub Worksheet_Activate()
    Range("H1") = "오늘 날짜: " &amp; Format(Date, "yyyy-mm-dd")
End Sub</t>
        </is>
      </c>
    </row>
    <row r="16" ht="60" customHeight="1">
      <c r="A16" s="37" t="inlineStr">
        <is>
          <t>기타작업-3</t>
        </is>
      </c>
      <c r="B16" s="30" t="inlineStr">
        <is>
          <t>3) [H6] 위치에 단추</t>
        </is>
      </c>
      <c r="C16" s="38" t="inlineStr">
        <is>
          <t>Sub 종료()
    MsgBox "검사 기록을 마칩니다."
    ActiveWorkbook.Save
End Sub</t>
        </is>
      </c>
    </row>
    <row r="17" ht="22" customHeight="1">
      <c r="A17" s="37" t="inlineStr">
        <is>
          <t>기타작업-1</t>
        </is>
      </c>
      <c r="B17" s="30" t="inlineStr">
        <is>
          <t>1) '불량수' 계열을 삭제하고 '불량률' 계열을 추가하시오</t>
        </is>
      </c>
      <c r="C17" s="30" t="inlineStr">
        <is>
          <t>범례에 검사수·불량률</t>
        </is>
      </c>
    </row>
    <row r="18" ht="22" customHeight="1">
      <c r="A18" s="37" t="inlineStr">
        <is>
          <t>기타작업-1</t>
        </is>
      </c>
      <c r="B18" s="30" t="inlineStr">
        <is>
          <t>2) '불량률' 계열을 '표식이 있는 꺾은선형' 으로, 보조 축에 표시하시오</t>
        </is>
      </c>
      <c r="C18" s="30" t="inlineStr">
        <is>
          <t>오른쪽에 % 축</t>
        </is>
      </c>
    </row>
    <row r="19" ht="22" customHeight="1">
      <c r="A19" s="37" t="inlineStr">
        <is>
          <t>기타작업-1</t>
        </is>
      </c>
      <c r="B19" s="30" t="inlineStr">
        <is>
          <t>3) 보조 세로(값) 축의 최소값 0, 최대값 0.03, 표시 형식 '백분율' 소수 1자리</t>
        </is>
      </c>
      <c r="C19" s="30" t="inlineStr">
        <is>
          <t>보조 축 0.0% ~ 3.0%</t>
        </is>
      </c>
    </row>
    <row r="20" ht="22" customHeight="1">
      <c r="A20" s="37" t="inlineStr">
        <is>
          <t>기타작업-1</t>
        </is>
      </c>
      <c r="B20" s="30" t="inlineStr">
        <is>
          <t>4) 차트 제목을 셀 [A1] 과 연결하고, 차트 스타일 '스타일 6' 을 적용하시오</t>
        </is>
      </c>
      <c r="C20" s="30" t="inlineStr">
        <is>
          <t>제목 수식 ='기타작업-1'!$A$1</t>
        </is>
      </c>
    </row>
    <row r="21" ht="22" customHeight="1">
      <c r="A21" s="37" t="inlineStr">
        <is>
          <t>기타작업-1</t>
        </is>
      </c>
      <c r="B21" s="30" t="inlineStr">
        <is>
          <t>5) '불량률' 계열의 '9월' 요소에만 데이터 레이블 '값' 을 '위쪽' 에 표시하시오</t>
        </is>
      </c>
      <c r="C21" s="30" t="inlineStr">
        <is>
          <t>9월 점 위에만 2.3%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2026-09-28T03:29:30Z</dcterms:created>
  <dcterms:modified xmlns:dcterms="http://purl.org/dc/terms/" xmlns:xsi="http://www.w3.org/2001/XMLSchema-instance" xsi:type="dcterms:W3CDTF">2026-09-28T03:29:30Z</dcterms:modified>
</cp:coreProperties>
</file>