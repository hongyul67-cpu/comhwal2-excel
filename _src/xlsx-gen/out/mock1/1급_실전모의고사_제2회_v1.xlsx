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계산작업" sheetId="5" state="visible" r:id="rId5"/>
    <sheet xmlns:r="http://schemas.openxmlformats.org/officeDocument/2006/relationships" name="분석작업-1" sheetId="6" state="visible" r:id="rId6"/>
    <sheet xmlns:r="http://schemas.openxmlformats.org/officeDocument/2006/relationships" name="분석작업-2" sheetId="7" state="visible" r:id="rId7"/>
    <sheet xmlns:r="http://schemas.openxmlformats.org/officeDocument/2006/relationships" name="기타작업-1" sheetId="8" state="visible" r:id="rId8"/>
    <sheet xmlns:r="http://schemas.openxmlformats.org/officeDocument/2006/relationships" name="기타작업-2" sheetId="9" state="visible" r:id="rId9"/>
    <sheet xmlns:r="http://schemas.openxmlformats.org/officeDocument/2006/relationships" name="기타작업-3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1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1"/>
    </font>
    <font>
      <i val="1"/>
      <color rgb="00A6A6A6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b val="1"/>
      <color rgb="00FFFFFF"/>
      <sz val="11"/>
    </font>
    <font>
      <color rgb="007F7F7F"/>
      <sz val="9.5"/>
    </font>
    <font>
      <b val="1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'기타작업-1'!B3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'기타작업-1'!$A$4:$A$7</f>
            </numRef>
          </cat>
          <val>
            <numRef>
              <f>'기타작업-1'!$B$4:$B$7</f>
            </numRef>
          </val>
        </ser>
        <ser>
          <idx val="1"/>
          <order val="1"/>
          <tx>
            <strRef>
              <f>'기타작업-1'!C3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'기타작업-1'!$A$4:$A$7</f>
            </numRef>
          </cat>
          <val>
            <numRef>
              <f>'기타작업-1'!$C$4:$C$7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실전 모의고사 제2회 — 출하 실적</t>
        </is>
      </c>
    </row>
    <row r="3" ht="19" customHeight="1">
      <c r="B3" s="2" t="inlineStr">
        <is>
          <t>1급 스프레드시트 실무와 같은 시트 이름 · 같은 배점입니다. 시간 45분,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시트를 읽고 → 각 작업 시트에서 풉니다.</t>
        </is>
      </c>
    </row>
    <row r="6" ht="19" customHeight="1">
      <c r="B6" s="2" t="inlineStr">
        <is>
          <t>② 계산작업 노란 칸의 0 을 지우고 첫 칸에 수식 → 끝까지 끌어내리기. 배열 수식은 Ctrl + Shift + Enter.</t>
        </is>
      </c>
    </row>
    <row r="7" ht="19" customHeight="1">
      <c r="B7" s="2" t="inlineStr">
        <is>
          <t>③ 계산작업 5번은 사용자 정의 함수 — [개발 도구] → [Visual Basic] → 모듈에 Function 을 만들고 =fn…() 로 계산합니다.</t>
        </is>
      </c>
    </row>
    <row r="8" ht="19" customHeight="1">
      <c r="B8" s="2" t="inlineStr">
        <is>
          <t>④ 다 풀면 [채점표] — 자동 칸은 저절로, '스스로' 칸은 [확인 방법] 을 보고 O / X.</t>
        </is>
      </c>
    </row>
    <row r="9" ht="34" customHeight="1">
      <c r="B9" s="4" t="inlineStr">
        <is>
          <t>함수·매크로·VBA 가 들어가면 '다른 이름으로 저장' → Excel 매크로 사용 통합 문서(*.xlsm). 그냥 저장하면 코드가 사라집니다.</t>
        </is>
      </c>
    </row>
    <row r="10" ht="34" customHeight="1">
      <c r="B10" s="4" t="inlineStr">
        <is>
          <t>[개발 도구] 탭이 없으면 [파일] → [옵션] → [리본 사용자 지정] 에서 '개발 도구' 체크.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2" customWidth="1" min="3" max="3"/>
  </cols>
  <sheetData>
    <row r="1" ht="26" customHeight="1">
      <c r="A1" s="5" t="inlineStr">
        <is>
          <t>컴퓨터활용능력 1급 실기 · 스프레드시트 실무 · 실전 모의고사 제2회 (출하 실적)</t>
        </is>
      </c>
    </row>
    <row r="2" ht="30" customHeight="1">
      <c r="A2" s="6" t="inlineStr">
        <is>
          <t>시험 시간 45분 · 100점 만점 · 70점 이상 합격.  시작 [      :      ]  끝 [      :      ]      사용자 정의 함수·매크로·VBA 를 넣었으면 Excel 매크로 사용 통합 문서(*.xlsm)로 저장하세요.</t>
        </is>
      </c>
    </row>
    <row r="4" ht="22" customHeight="1">
      <c r="A4" s="7" t="inlineStr">
        <is>
          <t xml:space="preserve">  기본작업-1  ·  10점</t>
        </is>
      </c>
    </row>
    <row r="5" ht="48" customHeight="1">
      <c r="B5" s="8" t="inlineStr">
        <is>
          <t>1.</t>
        </is>
      </c>
      <c r="C5" s="9" t="inlineStr">
        <is>
          <t>[A3:F15] 영역에서 출하일의 월이 10월이면서 수량이 수량 전체 평균 이상인 행의 '출하일', '거래처', '제품', '수량' 열만 고급 필터로 추출하시오.
· 조건은 [A17:A18] 영역에 AND, MONTH, AVERAGE 함수를 사용한 수식으로 입력  · 결과는 [A20] 셀부터 표시</t>
        </is>
      </c>
    </row>
    <row r="6" ht="48" customHeight="1">
      <c r="B6" s="8" t="inlineStr">
        <is>
          <t>2.</t>
        </is>
      </c>
      <c r="C6" s="9" t="inlineStr">
        <is>
          <t>[A4:F15] 영역에서 거래처가 '대한기계' 이면서 금액이 10,000,000 이상인 행 전체에 글꼴 '굵게', 글꼴 색 '파랑' 을 적용하시오.
· AND 함수를 사용한 수식으로 조건 지정</t>
        </is>
      </c>
    </row>
    <row r="7" ht="22" customHeight="1">
      <c r="A7" s="7" t="inlineStr">
        <is>
          <t xml:space="preserve">  기본작업-2  ·  5점</t>
        </is>
      </c>
    </row>
    <row r="8" ht="48" customHeight="1">
      <c r="B8" s="8" t="inlineStr">
        <is>
          <t>3.</t>
        </is>
      </c>
      <c r="C8" s="9" t="inlineStr">
        <is>
          <t>[기본작업-2] 시트의 [B4:E10] 영역에만 셀 잠금을 해제하고, 나머지 셀은 수정할 수 없게 시트를 보호하시오.
· '잠긴 셀 선택' 은 허용하지 않음(잠금 해제된 셀 선택만 허용)  · 암호는 지정하지 않음</t>
        </is>
      </c>
    </row>
    <row r="9" ht="22" customHeight="1">
      <c r="A9" s="7" t="inlineStr">
        <is>
          <t xml:space="preserve">  계산작업  ·  30점 (각 6점)</t>
        </is>
      </c>
    </row>
    <row r="10" ht="18" customHeight="1">
      <c r="B10" s="8" t="inlineStr">
        <is>
          <t>1.</t>
        </is>
      </c>
      <c r="C10" s="9" t="inlineStr">
        <is>
          <t>[표1]에서 거래처[A3:A10]와 분기[B3:B10]가 E·F열과 같은 금액[C3:C10]의 합계를 합계[G3:G6]에 구하시오. (단위: 십만 원) → [G3:G6]</t>
        </is>
      </c>
    </row>
    <row r="11" ht="32" customHeight="1">
      <c r="B11" s="8" t="inlineStr">
        <is>
          <t>2.</t>
        </is>
      </c>
      <c r="C11" s="9" t="inlineStr">
        <is>
          <t>[표2]에서 거래처[A15:A22]가 E열의 거래처와 같은 수량[C15:C22] 중 가장 큰 값을 최대 수량[F15:F17]에 구하시오. (MAX, IF 함수를 이용한 배열 수식) → [F15:F17]  ※ Ctrl+Shift+Enter</t>
        </is>
      </c>
    </row>
    <row r="12" ht="32" customHeight="1">
      <c r="B12" s="8" t="inlineStr">
        <is>
          <t>3.</t>
        </is>
      </c>
      <c r="C12" s="9" t="inlineStr">
        <is>
          <t>[표3]에서 지역[B27:B32]과 차종[C27:C32]으로 오른쪽 운임표에서 운임을 찾아 운임[D27:D32]에 표시하시오. (VLOOKUP, MATCH 함수) → [D27:D32]</t>
        </is>
      </c>
    </row>
    <row r="13" ht="32" customHeight="1">
      <c r="B13" s="8" t="inlineStr">
        <is>
          <t>4.</t>
        </is>
      </c>
      <c r="C13" s="9" t="inlineStr">
        <is>
          <t>[표4]에서 제품[A37:A42]이 E열과 같고 등급[B37:B42]이 "A" 인 단가[C37:C42]의 평균을 백의 자리에서 반올림(천 원 단위)하여 평균 단가[F37:F40]에 표시하되, 해당 자료가 없으면 "없음" 을 표시하시오. → [F37:F40]</t>
        </is>
      </c>
    </row>
    <row r="14" ht="64" customHeight="1">
      <c r="B14" s="8" t="inlineStr">
        <is>
          <t>5.</t>
        </is>
      </c>
      <c r="C14" s="9" t="inlineStr">
        <is>
          <t>[표5]에서 사용자 정의 함수 'fn운송비' 를 작성하여 운송비[D47:D52]를 표시하시오.
   fn운송비는 중량과 거리를 인수로 받아, 중량이 100 이하이면 거리×500, 100 초과이면 거리×800 을 돌려준다.
   (IF 문 사용 · Public Function fn운송비(중량, 거리)) → [D47:D52]</t>
        </is>
      </c>
    </row>
    <row r="15" ht="22" customHeight="1">
      <c r="A15" s="7" t="inlineStr">
        <is>
          <t xml:space="preserve">  분석작업-1  ·  10점</t>
        </is>
      </c>
    </row>
    <row r="16" ht="64" customHeight="1">
      <c r="B16" s="8" t="inlineStr"/>
      <c r="C16" s="9" t="inlineStr">
        <is>
          <t>[분석작업-1] 시트의 표로 피벗 테이블을 만드시오.
· 행: 출하일(월 단위로 그룹)  · 열: 거래처  · 값: 금액의 합계  · 위치 [I3]
· 값의 표시 형식 '숫자' 천 단위 구분 기호  · 행 총합계만 표시(열 총합계 해제)</t>
        </is>
      </c>
    </row>
    <row r="17" ht="22" customHeight="1">
      <c r="A17" s="7" t="inlineStr">
        <is>
          <t xml:space="preserve">  분석작업-2  ·  10점</t>
        </is>
      </c>
    </row>
    <row r="18" ht="48" customHeight="1">
      <c r="B18" s="8" t="inlineStr"/>
      <c r="C18" s="9" t="inlineStr">
        <is>
          <t>[분석작업-2] 시트에서 [표1]~[표3] 세 달의 제품별 '수량' 과 '금액' 의 평균을 [H4:J8] 에 통합하시오.
· 함수 '평균'  · 사용할 레이블 '첫 행' 과 '왼쪽 열'</t>
        </is>
      </c>
    </row>
    <row r="19" ht="22" customHeight="1">
      <c r="A19" s="7" t="inlineStr">
        <is>
          <t xml:space="preserve">  기타작업-1  ·  10점 (각 2점)</t>
        </is>
      </c>
    </row>
    <row r="20" ht="18" customHeight="1">
      <c r="B20" s="8" t="inlineStr"/>
      <c r="C20" s="9" t="inlineStr">
        <is>
          <t>[기타작업-1] 시트의 차트(묶은 세로 막대 · 9월·10월)를 다음과 같이 고치시오. (각 2점)</t>
        </is>
      </c>
    </row>
    <row r="21" ht="18" customHeight="1">
      <c r="B21" s="8" t="inlineStr">
        <is>
          <t>1)</t>
        </is>
      </c>
      <c r="C21" s="9" t="inlineStr">
        <is>
          <t>'동양기공' 데이터를 차트에서 제외하시오</t>
        </is>
      </c>
    </row>
    <row r="22" ht="18" customHeight="1">
      <c r="B22" s="8" t="inlineStr">
        <is>
          <t>2)</t>
        </is>
      </c>
      <c r="C22" s="9" t="inlineStr">
        <is>
          <t>차트 종류를 '누적 세로 막대형' 으로 바꾸시오</t>
        </is>
      </c>
    </row>
    <row r="23" ht="18" customHeight="1">
      <c r="B23" s="8" t="inlineStr">
        <is>
          <t>3)</t>
        </is>
      </c>
      <c r="C23" s="9" t="inlineStr">
        <is>
          <t>세로(값) 축 제목 '금액(백만 원)' 을 '세로 제목' 으로 추가하시오</t>
        </is>
      </c>
    </row>
    <row r="24" ht="18" customHeight="1">
      <c r="B24" s="8" t="inlineStr">
        <is>
          <t>4)</t>
        </is>
      </c>
      <c r="C24" s="9" t="inlineStr">
        <is>
          <t>'10월' 계열에 '가운데' 데이터 레이블 '값' 을 표시하시오</t>
        </is>
      </c>
    </row>
    <row r="25" ht="18" customHeight="1">
      <c r="B25" s="8" t="inlineStr">
        <is>
          <t>5)</t>
        </is>
      </c>
      <c r="C25" s="9" t="inlineStr">
        <is>
          <t>범례를 '위쪽', 차트 영역 테두리 '둥근 모서리' 를 지정하시오</t>
        </is>
      </c>
    </row>
    <row r="26" ht="22" customHeight="1">
      <c r="A26" s="7" t="inlineStr">
        <is>
          <t xml:space="preserve">  기타작업-2  ·  10점 (각 5점)</t>
        </is>
      </c>
    </row>
    <row r="27" ht="18" customHeight="1">
      <c r="B27" s="8" t="inlineStr"/>
      <c r="C27" s="9" t="inlineStr">
        <is>
          <t>[기타작업-2] 시트에서 다음 두 매크로를 만들고 연결하시오. (각 5점 · 저장은 .xlsm)</t>
        </is>
      </c>
    </row>
    <row r="28" ht="18" customHeight="1">
      <c r="B28" s="8" t="inlineStr">
        <is>
          <t>1)</t>
        </is>
      </c>
      <c r="C28" s="9" t="inlineStr">
        <is>
          <t>[D4:D7] 에 합계(9월+10월)를 SUM 으로 구하는 '합계' 매크로 — [F3:G4] 영역 단추(텍스트 '합계')에 연결</t>
        </is>
      </c>
    </row>
    <row r="29" ht="18" customHeight="1">
      <c r="B29" s="8" t="inlineStr">
        <is>
          <t>2)</t>
        </is>
      </c>
      <c r="C29" s="9" t="inlineStr">
        <is>
          <t>[A3:D3] 영역에 셀 스타일 '강조색2' 를 적용하는 '스타일' 매크로 — [F6:G7] 영역 도형 '빗면'(텍스트 '스타일')에 연결</t>
        </is>
      </c>
    </row>
    <row r="30" ht="22" customHeight="1">
      <c r="A30" s="7" t="inlineStr">
        <is>
          <t xml:space="preserve">  기타작업-3  ·  15점 (각 5점)</t>
        </is>
      </c>
    </row>
    <row r="31" ht="48" customHeight="1">
      <c r="B31" s="8" t="inlineStr"/>
      <c r="C31" s="9" t="inlineStr">
        <is>
          <t>[기타작업-3] 시트에서 다음과 같이 프로그래밍하시오. (각 5점)
※ 실제 시험은 미리 만든 사용자 폼(입력 폼)을 쓰지만, 이 연습 파일에는 폼을 넣을 수 없어 단추·InputBox·이벤트로 같은 문법을 연습합니다.</t>
        </is>
      </c>
    </row>
    <row r="32" ht="32" customHeight="1">
      <c r="B32" s="8" t="inlineStr">
        <is>
          <t>1)</t>
        </is>
      </c>
      <c r="C32" s="9" t="inlineStr">
        <is>
          <t>[G3] 위치 단추(텍스트 '출하 등록')에, InputBox 로 거래처·제품·수량을 받아 표 마지막 다음 줄에 넣고 출하일은 오늘 날짜로 넣는 '출하등록' 프로시저를 연결하시오.</t>
        </is>
      </c>
    </row>
    <row r="33" ht="18" customHeight="1">
      <c r="B33" s="8" t="inlineStr">
        <is>
          <t>2)</t>
        </is>
      </c>
      <c r="C33" s="9" t="inlineStr">
        <is>
          <t>수량을 넣을 때 500 이상이면 '대량 출하입니다' 메시지가 뜨도록 '출하등록' 에 If 문을 덧붙이시오.</t>
        </is>
      </c>
    </row>
    <row r="34" ht="18" customHeight="1">
      <c r="B34" s="8" t="inlineStr">
        <is>
          <t>3)</t>
        </is>
      </c>
      <c r="C34" s="9" t="inlineStr">
        <is>
          <t>통합 문서를 열 때(Workbook_Open) '출하 관리를 시작합니다' 메시지가 뜨게 하시오.</t>
        </is>
      </c>
    </row>
  </sheetData>
  <mergeCells count="10">
    <mergeCell ref="A19:C19"/>
    <mergeCell ref="A1:C1"/>
    <mergeCell ref="A17:C17"/>
    <mergeCell ref="A9:C9"/>
    <mergeCell ref="A7:C7"/>
    <mergeCell ref="A30:C30"/>
    <mergeCell ref="A15:C15"/>
    <mergeCell ref="A4:C4"/>
    <mergeCell ref="A26:C26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  <col width="10" customWidth="1" min="8" max="8"/>
  </cols>
  <sheetData>
    <row r="1" ht="26" customHeight="1">
      <c r="A1" s="10" t="inlineStr">
        <is>
          <t>기본작업-1</t>
        </is>
      </c>
    </row>
    <row r="3">
      <c r="A3" s="11" t="inlineStr">
        <is>
          <t>출하일</t>
        </is>
      </c>
      <c r="B3" s="11" t="inlineStr">
        <is>
          <t>출하번호</t>
        </is>
      </c>
      <c r="C3" s="11" t="inlineStr">
        <is>
          <t>거래처</t>
        </is>
      </c>
      <c r="D3" s="11" t="inlineStr">
        <is>
          <t>제품</t>
        </is>
      </c>
      <c r="E3" s="11" t="inlineStr">
        <is>
          <t>수량</t>
        </is>
      </c>
      <c r="F3" s="11" t="inlineStr">
        <is>
          <t>금액</t>
        </is>
      </c>
    </row>
    <row r="4">
      <c r="A4" s="12" t="n">
        <v>46267</v>
      </c>
      <c r="B4" s="13" t="inlineStr">
        <is>
          <t>S-001</t>
        </is>
      </c>
      <c r="C4" s="13" t="inlineStr">
        <is>
          <t>대한기계</t>
        </is>
      </c>
      <c r="D4" s="13" t="inlineStr">
        <is>
          <t>감속기어</t>
        </is>
      </c>
      <c r="E4" s="14" t="n">
        <v>420</v>
      </c>
      <c r="F4" s="14" t="n">
        <v>18900000</v>
      </c>
    </row>
    <row r="5">
      <c r="A5" s="12" t="n">
        <v>46270</v>
      </c>
      <c r="B5" s="13" t="inlineStr">
        <is>
          <t>S-002</t>
        </is>
      </c>
      <c r="C5" s="13" t="inlineStr">
        <is>
          <t>한빛정밀</t>
        </is>
      </c>
      <c r="D5" s="13" t="inlineStr">
        <is>
          <t>구동축</t>
        </is>
      </c>
      <c r="E5" s="14" t="n">
        <v>160</v>
      </c>
      <c r="F5" s="14" t="n">
        <v>12480000</v>
      </c>
    </row>
    <row r="6">
      <c r="A6" s="12" t="n">
        <v>46274</v>
      </c>
      <c r="B6" s="13" t="inlineStr">
        <is>
          <t>S-003</t>
        </is>
      </c>
      <c r="C6" s="13" t="inlineStr">
        <is>
          <t>대한기계</t>
        </is>
      </c>
      <c r="D6" s="13" t="inlineStr">
        <is>
          <t>밸브블록</t>
        </is>
      </c>
      <c r="E6" s="14" t="n">
        <v>300</v>
      </c>
      <c r="F6" s="14" t="n">
        <v>9900000</v>
      </c>
    </row>
    <row r="7">
      <c r="A7" s="12" t="n">
        <v>46280</v>
      </c>
      <c r="B7" s="13" t="inlineStr">
        <is>
          <t>S-004</t>
        </is>
      </c>
      <c r="C7" s="13" t="inlineStr">
        <is>
          <t>서해산업</t>
        </is>
      </c>
      <c r="D7" s="13" t="inlineStr">
        <is>
          <t>커플링</t>
        </is>
      </c>
      <c r="E7" s="14" t="n">
        <v>520</v>
      </c>
      <c r="F7" s="14" t="n">
        <v>4160000</v>
      </c>
    </row>
    <row r="8">
      <c r="A8" s="12" t="n">
        <v>46287</v>
      </c>
      <c r="B8" s="13" t="inlineStr">
        <is>
          <t>S-005</t>
        </is>
      </c>
      <c r="C8" s="13" t="inlineStr">
        <is>
          <t>한빛정밀</t>
        </is>
      </c>
      <c r="D8" s="13" t="inlineStr">
        <is>
          <t>감속기어</t>
        </is>
      </c>
      <c r="E8" s="14" t="n">
        <v>250</v>
      </c>
      <c r="F8" s="14" t="n">
        <v>11250000</v>
      </c>
    </row>
    <row r="9">
      <c r="A9" s="12" t="n">
        <v>46294</v>
      </c>
      <c r="B9" s="13" t="inlineStr">
        <is>
          <t>S-006</t>
        </is>
      </c>
      <c r="C9" s="13" t="inlineStr">
        <is>
          <t>서해산업</t>
        </is>
      </c>
      <c r="D9" s="13" t="inlineStr">
        <is>
          <t>구동축</t>
        </is>
      </c>
      <c r="E9" s="14" t="n">
        <v>90</v>
      </c>
      <c r="F9" s="14" t="n">
        <v>7020000</v>
      </c>
    </row>
    <row r="10">
      <c r="A10" s="12" t="n">
        <v>46296</v>
      </c>
      <c r="B10" s="13" t="inlineStr">
        <is>
          <t>S-007</t>
        </is>
      </c>
      <c r="C10" s="13" t="inlineStr">
        <is>
          <t>대한기계</t>
        </is>
      </c>
      <c r="D10" s="13" t="inlineStr">
        <is>
          <t>커플링</t>
        </is>
      </c>
      <c r="E10" s="14" t="n">
        <v>610</v>
      </c>
      <c r="F10" s="14" t="n">
        <v>4880000</v>
      </c>
    </row>
    <row r="11">
      <c r="A11" s="12" t="n">
        <v>46301</v>
      </c>
      <c r="B11" s="13" t="inlineStr">
        <is>
          <t>S-008</t>
        </is>
      </c>
      <c r="C11" s="13" t="inlineStr">
        <is>
          <t>한빛정밀</t>
        </is>
      </c>
      <c r="D11" s="13" t="inlineStr">
        <is>
          <t>밸브블록</t>
        </is>
      </c>
      <c r="E11" s="14" t="n">
        <v>330</v>
      </c>
      <c r="F11" s="14" t="n">
        <v>10890000</v>
      </c>
    </row>
    <row r="12">
      <c r="A12" s="12" t="n">
        <v>46308</v>
      </c>
      <c r="B12" s="13" t="inlineStr">
        <is>
          <t>S-009</t>
        </is>
      </c>
      <c r="C12" s="13" t="inlineStr">
        <is>
          <t>서해산업</t>
        </is>
      </c>
      <c r="D12" s="13" t="inlineStr">
        <is>
          <t>감속기어</t>
        </is>
      </c>
      <c r="E12" s="14" t="n">
        <v>180</v>
      </c>
      <c r="F12" s="14" t="n">
        <v>8100000</v>
      </c>
    </row>
    <row r="13">
      <c r="A13" s="12" t="n">
        <v>46315</v>
      </c>
      <c r="B13" s="13" t="inlineStr">
        <is>
          <t>S-010</t>
        </is>
      </c>
      <c r="C13" s="13" t="inlineStr">
        <is>
          <t>대한기계</t>
        </is>
      </c>
      <c r="D13" s="13" t="inlineStr">
        <is>
          <t>구동축</t>
        </is>
      </c>
      <c r="E13" s="14" t="n">
        <v>210</v>
      </c>
      <c r="F13" s="14" t="n">
        <v>16380000</v>
      </c>
    </row>
    <row r="14">
      <c r="A14" s="12" t="n">
        <v>46322</v>
      </c>
      <c r="B14" s="13" t="inlineStr">
        <is>
          <t>S-011</t>
        </is>
      </c>
      <c r="C14" s="13" t="inlineStr">
        <is>
          <t>한빛정밀</t>
        </is>
      </c>
      <c r="D14" s="13" t="inlineStr">
        <is>
          <t>커플링</t>
        </is>
      </c>
      <c r="E14" s="14" t="n">
        <v>700</v>
      </c>
      <c r="F14" s="14" t="n">
        <v>5600000</v>
      </c>
    </row>
    <row r="15">
      <c r="A15" s="12" t="n">
        <v>46325</v>
      </c>
      <c r="B15" s="13" t="inlineStr">
        <is>
          <t>S-012</t>
        </is>
      </c>
      <c r="C15" s="13" t="inlineStr">
        <is>
          <t>서해산업</t>
        </is>
      </c>
      <c r="D15" s="13" t="inlineStr">
        <is>
          <t>밸브블록</t>
        </is>
      </c>
      <c r="E15" s="14" t="n">
        <v>260</v>
      </c>
      <c r="F15" s="14" t="n">
        <v>8580000</v>
      </c>
    </row>
    <row r="20">
      <c r="A20" s="15" t="n"/>
      <c r="B20" s="15" t="n"/>
      <c r="C20" s="15" t="n"/>
      <c r="D20" s="15" t="n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</cols>
  <sheetData>
    <row r="1" ht="26" customHeight="1">
      <c r="A1" s="10" t="inlineStr">
        <is>
          <t>기본작업-2 (시트 보호)</t>
        </is>
      </c>
    </row>
    <row r="3">
      <c r="A3" s="11" t="inlineStr">
        <is>
          <t>출하일</t>
        </is>
      </c>
      <c r="B3" s="11" t="inlineStr">
        <is>
          <t>출하번호</t>
        </is>
      </c>
      <c r="C3" s="11" t="inlineStr">
        <is>
          <t>거래처</t>
        </is>
      </c>
      <c r="D3" s="11" t="inlineStr">
        <is>
          <t>제품</t>
        </is>
      </c>
      <c r="E3" s="11" t="inlineStr">
        <is>
          <t>수량</t>
        </is>
      </c>
      <c r="F3" s="11" t="inlineStr">
        <is>
          <t>금액</t>
        </is>
      </c>
    </row>
    <row r="4">
      <c r="A4" s="12" t="n">
        <v>46267</v>
      </c>
      <c r="B4" s="13" t="inlineStr">
        <is>
          <t>S-001</t>
        </is>
      </c>
      <c r="C4" s="13" t="inlineStr">
        <is>
          <t>대한기계</t>
        </is>
      </c>
      <c r="D4" s="13" t="inlineStr">
        <is>
          <t>감속기어</t>
        </is>
      </c>
      <c r="E4" s="14" t="n">
        <v>420</v>
      </c>
      <c r="F4" s="14" t="n">
        <v>18900000</v>
      </c>
    </row>
    <row r="5">
      <c r="A5" s="12" t="n">
        <v>46270</v>
      </c>
      <c r="B5" s="13" t="inlineStr">
        <is>
          <t>S-002</t>
        </is>
      </c>
      <c r="C5" s="13" t="inlineStr">
        <is>
          <t>한빛정밀</t>
        </is>
      </c>
      <c r="D5" s="13" t="inlineStr">
        <is>
          <t>구동축</t>
        </is>
      </c>
      <c r="E5" s="14" t="n">
        <v>160</v>
      </c>
      <c r="F5" s="14" t="n">
        <v>12480000</v>
      </c>
    </row>
    <row r="6">
      <c r="A6" s="12" t="n">
        <v>46274</v>
      </c>
      <c r="B6" s="13" t="inlineStr">
        <is>
          <t>S-003</t>
        </is>
      </c>
      <c r="C6" s="13" t="inlineStr">
        <is>
          <t>대한기계</t>
        </is>
      </c>
      <c r="D6" s="13" t="inlineStr">
        <is>
          <t>밸브블록</t>
        </is>
      </c>
      <c r="E6" s="14" t="n">
        <v>300</v>
      </c>
      <c r="F6" s="14" t="n">
        <v>9900000</v>
      </c>
    </row>
    <row r="7">
      <c r="A7" s="12" t="n">
        <v>46280</v>
      </c>
      <c r="B7" s="13" t="inlineStr">
        <is>
          <t>S-004</t>
        </is>
      </c>
      <c r="C7" s="13" t="inlineStr">
        <is>
          <t>서해산업</t>
        </is>
      </c>
      <c r="D7" s="13" t="inlineStr">
        <is>
          <t>커플링</t>
        </is>
      </c>
      <c r="E7" s="14" t="n">
        <v>520</v>
      </c>
      <c r="F7" s="14" t="n">
        <v>4160000</v>
      </c>
    </row>
    <row r="8">
      <c r="A8" s="12" t="n">
        <v>46287</v>
      </c>
      <c r="B8" s="13" t="inlineStr">
        <is>
          <t>S-005</t>
        </is>
      </c>
      <c r="C8" s="13" t="inlineStr">
        <is>
          <t>한빛정밀</t>
        </is>
      </c>
      <c r="D8" s="13" t="inlineStr">
        <is>
          <t>감속기어</t>
        </is>
      </c>
      <c r="E8" s="14" t="n">
        <v>250</v>
      </c>
      <c r="F8" s="14" t="n">
        <v>11250000</v>
      </c>
    </row>
    <row r="9">
      <c r="A9" s="12" t="n">
        <v>46294</v>
      </c>
      <c r="B9" s="13" t="inlineStr">
        <is>
          <t>S-006</t>
        </is>
      </c>
      <c r="C9" s="13" t="inlineStr">
        <is>
          <t>서해산업</t>
        </is>
      </c>
      <c r="D9" s="13" t="inlineStr">
        <is>
          <t>구동축</t>
        </is>
      </c>
      <c r="E9" s="14" t="n">
        <v>90</v>
      </c>
      <c r="F9" s="14" t="n">
        <v>7020000</v>
      </c>
    </row>
    <row r="10">
      <c r="A10" s="12" t="n">
        <v>46296</v>
      </c>
      <c r="B10" s="13" t="inlineStr">
        <is>
          <t>S-007</t>
        </is>
      </c>
      <c r="C10" s="13" t="inlineStr">
        <is>
          <t>대한기계</t>
        </is>
      </c>
      <c r="D10" s="13" t="inlineStr">
        <is>
          <t>커플링</t>
        </is>
      </c>
      <c r="E10" s="14" t="n">
        <v>610</v>
      </c>
      <c r="F10" s="14" t="n">
        <v>4880000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hidden="1" width="13" customWidth="1" min="27" max="27"/>
    <col hidden="1" width="13" customWidth="1" min="28" max="28"/>
  </cols>
  <sheetData>
    <row r="1">
      <c r="A1" s="16" t="inlineStr">
        <is>
          <t>[표1] 거래처·분기별 금액</t>
        </is>
      </c>
    </row>
    <row r="2">
      <c r="A2" s="11" t="inlineStr">
        <is>
          <t>거래처</t>
        </is>
      </c>
      <c r="B2" s="11" t="inlineStr">
        <is>
          <t>분기</t>
        </is>
      </c>
      <c r="C2" s="11" t="inlineStr">
        <is>
          <t>금액</t>
        </is>
      </c>
      <c r="D2" s="11" t="inlineStr"/>
      <c r="E2" s="11" t="inlineStr">
        <is>
          <t>거래처</t>
        </is>
      </c>
      <c r="F2" s="11" t="inlineStr">
        <is>
          <t>분기</t>
        </is>
      </c>
      <c r="G2" s="11" t="inlineStr">
        <is>
          <t>합계</t>
        </is>
      </c>
    </row>
    <row r="3">
      <c r="A3" s="13" t="inlineStr">
        <is>
          <t>대한기계</t>
        </is>
      </c>
      <c r="B3" s="13" t="inlineStr">
        <is>
          <t>3분기</t>
        </is>
      </c>
      <c r="C3" s="13" t="n">
        <v>189</v>
      </c>
      <c r="D3" s="17" t="n"/>
      <c r="E3" s="13" t="inlineStr">
        <is>
          <t>대한기계</t>
        </is>
      </c>
      <c r="F3" s="13" t="inlineStr">
        <is>
          <t>3분기</t>
        </is>
      </c>
      <c r="G3" s="18" t="n">
        <v>0</v>
      </c>
      <c r="AA3">
        <f>SUMIFS($C$3:$C$10,$A$3:$A$10,E3,$B$3:$B$10,F3)</f>
        <v/>
      </c>
      <c r="AB3">
        <f>AND(_xlfn.ISFORMULA(G3),IFERROR(ROUND(G3,4)=ROUND(AA3,4),EXACT(G3,AA3)))</f>
        <v/>
      </c>
    </row>
    <row r="4">
      <c r="A4" s="13" t="inlineStr">
        <is>
          <t>한빛정밀</t>
        </is>
      </c>
      <c r="B4" s="13" t="inlineStr">
        <is>
          <t>3분기</t>
        </is>
      </c>
      <c r="C4" s="13" t="n">
        <v>125</v>
      </c>
      <c r="D4" s="17" t="n"/>
      <c r="E4" s="13" t="inlineStr">
        <is>
          <t>대한기계</t>
        </is>
      </c>
      <c r="F4" s="13" t="inlineStr">
        <is>
          <t>4분기</t>
        </is>
      </c>
      <c r="G4" s="18" t="n">
        <v>0</v>
      </c>
      <c r="AA4">
        <f>SUMIFS($C$3:$C$10,$A$3:$A$10,E4,$B$3:$B$10,F4)</f>
        <v/>
      </c>
      <c r="AB4">
        <f>AND(_xlfn.ISFORMULA(G4),IFERROR(ROUND(G4,4)=ROUND(AA4,4),EXACT(G4,AA4)))</f>
        <v/>
      </c>
    </row>
    <row r="5">
      <c r="A5" s="13" t="inlineStr">
        <is>
          <t>대한기계</t>
        </is>
      </c>
      <c r="B5" s="13" t="inlineStr">
        <is>
          <t>4분기</t>
        </is>
      </c>
      <c r="C5" s="13" t="n">
        <v>49</v>
      </c>
      <c r="D5" s="17" t="n"/>
      <c r="E5" s="13" t="inlineStr">
        <is>
          <t>한빛정밀</t>
        </is>
      </c>
      <c r="F5" s="13" t="inlineStr">
        <is>
          <t>3분기</t>
        </is>
      </c>
      <c r="G5" s="18" t="n">
        <v>0</v>
      </c>
      <c r="AA5">
        <f>SUMIFS($C$3:$C$10,$A$3:$A$10,E5,$B$3:$B$10,F5)</f>
        <v/>
      </c>
      <c r="AB5">
        <f>AND(_xlfn.ISFORMULA(G5),IFERROR(ROUND(G5,4)=ROUND(AA5,4),EXACT(G5,AA5)))</f>
        <v/>
      </c>
    </row>
    <row r="6">
      <c r="A6" s="13" t="inlineStr">
        <is>
          <t>서해산업</t>
        </is>
      </c>
      <c r="B6" s="13" t="inlineStr">
        <is>
          <t>3분기</t>
        </is>
      </c>
      <c r="C6" s="13" t="n">
        <v>42</v>
      </c>
      <c r="D6" s="17" t="n"/>
      <c r="E6" s="13" t="inlineStr">
        <is>
          <t>한빛정밀</t>
        </is>
      </c>
      <c r="F6" s="13" t="inlineStr">
        <is>
          <t>4분기</t>
        </is>
      </c>
      <c r="G6" s="18" t="n">
        <v>0</v>
      </c>
      <c r="AA6">
        <f>SUMIFS($C$3:$C$10,$A$3:$A$10,E6,$B$3:$B$10,F6)</f>
        <v/>
      </c>
      <c r="AB6">
        <f>AND(_xlfn.ISFORMULA(G6),IFERROR(ROUND(G6,4)=ROUND(AA6,4),EXACT(G6,AA6)))</f>
        <v/>
      </c>
    </row>
    <row r="7">
      <c r="A7" s="13" t="inlineStr">
        <is>
          <t>대한기계</t>
        </is>
      </c>
      <c r="B7" s="13" t="inlineStr">
        <is>
          <t>3분기</t>
        </is>
      </c>
      <c r="C7" s="13" t="n">
        <v>99</v>
      </c>
      <c r="D7" s="17" t="n"/>
      <c r="E7" s="17" t="n"/>
      <c r="F7" s="17" t="n"/>
      <c r="G7" s="17" t="n"/>
    </row>
    <row r="8">
      <c r="A8" s="13" t="inlineStr">
        <is>
          <t>한빛정밀</t>
        </is>
      </c>
      <c r="B8" s="13" t="inlineStr">
        <is>
          <t>4분기</t>
        </is>
      </c>
      <c r="C8" s="13" t="n">
        <v>109</v>
      </c>
      <c r="D8" s="17" t="n"/>
      <c r="E8" s="17" t="n"/>
      <c r="F8" s="17" t="n"/>
      <c r="G8" s="17" t="n"/>
    </row>
    <row r="9">
      <c r="A9" s="13" t="inlineStr">
        <is>
          <t>대한기계</t>
        </is>
      </c>
      <c r="B9" s="13" t="inlineStr">
        <is>
          <t>4분기</t>
        </is>
      </c>
      <c r="C9" s="13" t="n">
        <v>164</v>
      </c>
      <c r="D9" s="17" t="n"/>
      <c r="E9" s="17" t="n"/>
      <c r="F9" s="17" t="n"/>
      <c r="G9" s="17" t="n"/>
    </row>
    <row r="10">
      <c r="A10" s="13" t="inlineStr">
        <is>
          <t>한빛정밀</t>
        </is>
      </c>
      <c r="B10" s="13" t="inlineStr">
        <is>
          <t>3분기</t>
        </is>
      </c>
      <c r="C10" s="13" t="n">
        <v>113</v>
      </c>
      <c r="D10" s="17" t="n"/>
      <c r="E10" s="17" t="n"/>
      <c r="F10" s="17" t="n"/>
      <c r="G10" s="17" t="n"/>
    </row>
    <row r="13">
      <c r="A13" s="16" t="inlineStr">
        <is>
          <t>[표2] 거래처별 최대 출하량</t>
        </is>
      </c>
    </row>
    <row r="14">
      <c r="A14" s="11" t="inlineStr">
        <is>
          <t>거래처</t>
        </is>
      </c>
      <c r="B14" s="11" t="inlineStr">
        <is>
          <t>제품</t>
        </is>
      </c>
      <c r="C14" s="11" t="inlineStr">
        <is>
          <t>수량</t>
        </is>
      </c>
      <c r="D14" s="11" t="inlineStr"/>
      <c r="E14" s="11" t="inlineStr">
        <is>
          <t>거래처</t>
        </is>
      </c>
      <c r="F14" s="11" t="inlineStr">
        <is>
          <t>최대 수량</t>
        </is>
      </c>
    </row>
    <row r="15">
      <c r="A15" s="13" t="inlineStr">
        <is>
          <t>대한기계</t>
        </is>
      </c>
      <c r="B15" s="13" t="inlineStr">
        <is>
          <t>기어</t>
        </is>
      </c>
      <c r="C15" s="13" t="n">
        <v>420</v>
      </c>
      <c r="D15" s="17" t="n"/>
      <c r="E15" s="13" t="inlineStr">
        <is>
          <t>대한기계</t>
        </is>
      </c>
      <c r="F15" s="18" t="n">
        <v>0</v>
      </c>
      <c r="AA15">
        <f t="array" ref="AA15">MAX(IF($A$15:$A$22=E15,$C$15:$C$22))</f>
        <v/>
      </c>
      <c r="AB15">
        <f>AND(_xlfn.ISFORMULA(F15),IFERROR(ROUND(F15,4)=ROUND(AA15,4),EXACT(F15,AA15)))</f>
        <v/>
      </c>
    </row>
    <row r="16">
      <c r="A16" s="13" t="inlineStr">
        <is>
          <t>한빛정밀</t>
        </is>
      </c>
      <c r="B16" s="13" t="inlineStr">
        <is>
          <t>축</t>
        </is>
      </c>
      <c r="C16" s="13" t="n">
        <v>160</v>
      </c>
      <c r="D16" s="17" t="n"/>
      <c r="E16" s="13" t="inlineStr">
        <is>
          <t>한빛정밀</t>
        </is>
      </c>
      <c r="F16" s="18" t="n">
        <v>0</v>
      </c>
      <c r="AA16">
        <f t="array" ref="AA16">MAX(IF($A$15:$A$22=E16,$C$15:$C$22))</f>
        <v/>
      </c>
      <c r="AB16">
        <f>AND(_xlfn.ISFORMULA(F16),IFERROR(ROUND(F16,4)=ROUND(AA16,4),EXACT(F16,AA16)))</f>
        <v/>
      </c>
    </row>
    <row r="17">
      <c r="A17" s="13" t="inlineStr">
        <is>
          <t>대한기계</t>
        </is>
      </c>
      <c r="B17" s="13" t="inlineStr">
        <is>
          <t>밸브</t>
        </is>
      </c>
      <c r="C17" s="13" t="n">
        <v>610</v>
      </c>
      <c r="D17" s="17" t="n"/>
      <c r="E17" s="13" t="inlineStr">
        <is>
          <t>서해산업</t>
        </is>
      </c>
      <c r="F17" s="18" t="n">
        <v>0</v>
      </c>
      <c r="AA17">
        <f t="array" ref="AA17">MAX(IF($A$15:$A$22=E17,$C$15:$C$22))</f>
        <v/>
      </c>
      <c r="AB17">
        <f>AND(_xlfn.ISFORMULA(F17),IFERROR(ROUND(F17,4)=ROUND(AA17,4),EXACT(F17,AA17)))</f>
        <v/>
      </c>
    </row>
    <row r="18">
      <c r="A18" s="13" t="inlineStr">
        <is>
          <t>서해산업</t>
        </is>
      </c>
      <c r="B18" s="13" t="inlineStr">
        <is>
          <t>커플링</t>
        </is>
      </c>
      <c r="C18" s="13" t="n">
        <v>520</v>
      </c>
      <c r="D18" s="17" t="n"/>
      <c r="E18" s="17" t="n"/>
      <c r="F18" s="17" t="n"/>
    </row>
    <row r="19">
      <c r="A19" s="13" t="inlineStr">
        <is>
          <t>한빛정밀</t>
        </is>
      </c>
      <c r="B19" s="13" t="inlineStr">
        <is>
          <t>기어</t>
        </is>
      </c>
      <c r="C19" s="13" t="n">
        <v>700</v>
      </c>
      <c r="D19" s="17" t="n"/>
      <c r="E19" s="17" t="n"/>
      <c r="F19" s="17" t="n"/>
    </row>
    <row r="20">
      <c r="A20" s="13" t="inlineStr">
        <is>
          <t>서해산업</t>
        </is>
      </c>
      <c r="B20" s="13" t="inlineStr">
        <is>
          <t>축</t>
        </is>
      </c>
      <c r="C20" s="13" t="n">
        <v>90</v>
      </c>
      <c r="D20" s="17" t="n"/>
      <c r="E20" s="17" t="n"/>
      <c r="F20" s="17" t="n"/>
    </row>
    <row r="21">
      <c r="A21" s="13" t="inlineStr">
        <is>
          <t>대한기계</t>
        </is>
      </c>
      <c r="B21" s="13" t="inlineStr">
        <is>
          <t>커플링</t>
        </is>
      </c>
      <c r="C21" s="13" t="n">
        <v>210</v>
      </c>
      <c r="D21" s="17" t="n"/>
      <c r="E21" s="17" t="n"/>
      <c r="F21" s="17" t="n"/>
    </row>
    <row r="22">
      <c r="A22" s="13" t="inlineStr">
        <is>
          <t>한빛정밀</t>
        </is>
      </c>
      <c r="B22" s="13" t="inlineStr">
        <is>
          <t>밸브</t>
        </is>
      </c>
      <c r="C22" s="13" t="n">
        <v>330</v>
      </c>
      <c r="D22" s="17" t="n"/>
      <c r="E22" s="17" t="n"/>
      <c r="F22" s="17" t="n"/>
    </row>
    <row r="25">
      <c r="A25" s="16" t="inlineStr">
        <is>
          <t>[표3] 운임 조회</t>
        </is>
      </c>
    </row>
    <row r="26">
      <c r="A26" s="11" t="inlineStr">
        <is>
          <t>출하번호</t>
        </is>
      </c>
      <c r="B26" s="11" t="inlineStr">
        <is>
          <t>지역</t>
        </is>
      </c>
      <c r="C26" s="11" t="inlineStr">
        <is>
          <t>차종</t>
        </is>
      </c>
      <c r="D26" s="11" t="inlineStr">
        <is>
          <t>운임</t>
        </is>
      </c>
      <c r="E26" s="11" t="inlineStr"/>
      <c r="F26" s="11" t="inlineStr">
        <is>
          <t>지역</t>
        </is>
      </c>
      <c r="G26" s="11" t="inlineStr">
        <is>
          <t>1톤</t>
        </is>
      </c>
      <c r="H26" s="11" t="inlineStr">
        <is>
          <t>2.5톤</t>
        </is>
      </c>
      <c r="I26" s="11" t="inlineStr">
        <is>
          <t>5톤</t>
        </is>
      </c>
    </row>
    <row r="27">
      <c r="A27" s="13" t="inlineStr">
        <is>
          <t>S-01</t>
        </is>
      </c>
      <c r="B27" s="13" t="inlineStr">
        <is>
          <t>경기</t>
        </is>
      </c>
      <c r="C27" s="13" t="inlineStr">
        <is>
          <t>2.5톤</t>
        </is>
      </c>
      <c r="D27" s="19" t="n">
        <v>0</v>
      </c>
      <c r="E27" s="17" t="n"/>
      <c r="F27" s="13" t="inlineStr">
        <is>
          <t>서울</t>
        </is>
      </c>
      <c r="G27" s="13" t="n">
        <v>60000</v>
      </c>
      <c r="H27" s="13" t="n">
        <v>90000</v>
      </c>
      <c r="I27" s="13" t="n">
        <v>150000</v>
      </c>
      <c r="AA27">
        <f>VLOOKUP(B27,$F$27:$I$30,MATCH(C27,$F$26:$I$26,0),FALSE)</f>
        <v/>
      </c>
      <c r="AB27">
        <f>AND(_xlfn.ISFORMULA(D27),IFERROR(ROUND(D27,4)=ROUND(AA27,4),EXACT(D27,AA27)))</f>
        <v/>
      </c>
    </row>
    <row r="28">
      <c r="A28" s="13" t="inlineStr">
        <is>
          <t>S-02</t>
        </is>
      </c>
      <c r="B28" s="13" t="inlineStr">
        <is>
          <t>서울</t>
        </is>
      </c>
      <c r="C28" s="13" t="inlineStr">
        <is>
          <t>5톤</t>
        </is>
      </c>
      <c r="D28" s="19" t="n">
        <v>0</v>
      </c>
      <c r="E28" s="17" t="n"/>
      <c r="F28" s="13" t="inlineStr">
        <is>
          <t>경기</t>
        </is>
      </c>
      <c r="G28" s="13" t="n">
        <v>80000</v>
      </c>
      <c r="H28" s="13" t="n">
        <v>120000</v>
      </c>
      <c r="I28" s="13" t="n">
        <v>190000</v>
      </c>
      <c r="AA28">
        <f>VLOOKUP(B28,$F$27:$I$30,MATCH(C28,$F$26:$I$26,0),FALSE)</f>
        <v/>
      </c>
      <c r="AB28">
        <f>AND(_xlfn.ISFORMULA(D28),IFERROR(ROUND(D28,4)=ROUND(AA28,4),EXACT(D28,AA28)))</f>
        <v/>
      </c>
    </row>
    <row r="29">
      <c r="A29" s="13" t="inlineStr">
        <is>
          <t>S-03</t>
        </is>
      </c>
      <c r="B29" s="13" t="inlineStr">
        <is>
          <t>충청</t>
        </is>
      </c>
      <c r="C29" s="13" t="inlineStr">
        <is>
          <t>1톤</t>
        </is>
      </c>
      <c r="D29" s="19" t="n">
        <v>0</v>
      </c>
      <c r="E29" s="17" t="n"/>
      <c r="F29" s="13" t="inlineStr">
        <is>
          <t>충청</t>
        </is>
      </c>
      <c r="G29" s="13" t="n">
        <v>130000</v>
      </c>
      <c r="H29" s="13" t="n">
        <v>180000</v>
      </c>
      <c r="I29" s="13" t="n">
        <v>260000</v>
      </c>
      <c r="AA29">
        <f>VLOOKUP(B29,$F$27:$I$30,MATCH(C29,$F$26:$I$26,0),FALSE)</f>
        <v/>
      </c>
      <c r="AB29">
        <f>AND(_xlfn.ISFORMULA(D29),IFERROR(ROUND(D29,4)=ROUND(AA29,4),EXACT(D29,AA29)))</f>
        <v/>
      </c>
    </row>
    <row r="30">
      <c r="A30" s="13" t="inlineStr">
        <is>
          <t>S-04</t>
        </is>
      </c>
      <c r="B30" s="13" t="inlineStr">
        <is>
          <t>경기</t>
        </is>
      </c>
      <c r="C30" s="13" t="inlineStr">
        <is>
          <t>1톤</t>
        </is>
      </c>
      <c r="D30" s="19" t="n">
        <v>0</v>
      </c>
      <c r="E30" s="17" t="n"/>
      <c r="F30" s="13" t="inlineStr">
        <is>
          <t>경상</t>
        </is>
      </c>
      <c r="G30" s="13" t="n">
        <v>200000</v>
      </c>
      <c r="H30" s="13" t="n">
        <v>270000</v>
      </c>
      <c r="I30" s="13" t="n">
        <v>380000</v>
      </c>
      <c r="AA30">
        <f>VLOOKUP(B30,$F$27:$I$30,MATCH(C30,$F$26:$I$26,0),FALSE)</f>
        <v/>
      </c>
      <c r="AB30">
        <f>AND(_xlfn.ISFORMULA(D30),IFERROR(ROUND(D30,4)=ROUND(AA30,4),EXACT(D30,AA30)))</f>
        <v/>
      </c>
    </row>
    <row r="31">
      <c r="A31" s="13" t="inlineStr">
        <is>
          <t>S-05</t>
        </is>
      </c>
      <c r="B31" s="13" t="inlineStr">
        <is>
          <t>경상</t>
        </is>
      </c>
      <c r="C31" s="13" t="inlineStr">
        <is>
          <t>5톤</t>
        </is>
      </c>
      <c r="D31" s="19" t="n">
        <v>0</v>
      </c>
      <c r="E31" s="17" t="n"/>
      <c r="F31" s="17" t="n"/>
      <c r="G31" s="17" t="n"/>
      <c r="H31" s="17" t="n"/>
      <c r="I31" s="17" t="n"/>
      <c r="AA31">
        <f>VLOOKUP(B31,$F$27:$I$30,MATCH(C31,$F$26:$I$26,0),FALSE)</f>
        <v/>
      </c>
      <c r="AB31">
        <f>AND(_xlfn.ISFORMULA(D31),IFERROR(ROUND(D31,4)=ROUND(AA31,4),EXACT(D31,AA31)))</f>
        <v/>
      </c>
    </row>
    <row r="32">
      <c r="A32" s="13" t="inlineStr">
        <is>
          <t>S-06</t>
        </is>
      </c>
      <c r="B32" s="13" t="inlineStr">
        <is>
          <t>서울</t>
        </is>
      </c>
      <c r="C32" s="13" t="inlineStr">
        <is>
          <t>2.5톤</t>
        </is>
      </c>
      <c r="D32" s="19" t="n">
        <v>0</v>
      </c>
      <c r="E32" s="17" t="n"/>
      <c r="F32" s="17" t="n"/>
      <c r="G32" s="17" t="n"/>
      <c r="H32" s="17" t="n"/>
      <c r="I32" s="17" t="n"/>
      <c r="AA32">
        <f>VLOOKUP(B32,$F$27:$I$30,MATCH(C32,$F$26:$I$26,0),FALSE)</f>
        <v/>
      </c>
      <c r="AB32">
        <f>AND(_xlfn.ISFORMULA(D32),IFERROR(ROUND(D32,4)=ROUND(AA32,4),EXACT(D32,AA32)))</f>
        <v/>
      </c>
    </row>
    <row r="35">
      <c r="A35" s="16" t="inlineStr">
        <is>
          <t>[표4] 제품별 평균 단가</t>
        </is>
      </c>
    </row>
    <row r="36">
      <c r="A36" s="11" t="inlineStr">
        <is>
          <t>제품</t>
        </is>
      </c>
      <c r="B36" s="11" t="inlineStr">
        <is>
          <t>등급</t>
        </is>
      </c>
      <c r="C36" s="11" t="inlineStr">
        <is>
          <t>단가</t>
        </is>
      </c>
      <c r="D36" s="11" t="inlineStr"/>
      <c r="E36" s="11" t="inlineStr">
        <is>
          <t>제품</t>
        </is>
      </c>
      <c r="F36" s="11" t="inlineStr">
        <is>
          <t>평균 단가</t>
        </is>
      </c>
    </row>
    <row r="37">
      <c r="A37" s="13" t="inlineStr">
        <is>
          <t>기어</t>
        </is>
      </c>
      <c r="B37" s="13" t="inlineStr">
        <is>
          <t>A</t>
        </is>
      </c>
      <c r="C37" s="13" t="n">
        <v>45000</v>
      </c>
      <c r="D37" s="17" t="n"/>
      <c r="E37" s="13" t="inlineStr">
        <is>
          <t>기어</t>
        </is>
      </c>
      <c r="F37" s="19" t="n">
        <v>0</v>
      </c>
      <c r="AA37">
        <f>IFERROR(ROUND(AVERAGEIFS($C$37:$C$42,$A$37:$A$42,E37,$B$37:$B$42,"A"),-3),"없음")</f>
        <v/>
      </c>
      <c r="AB37">
        <f>AND(_xlfn.ISFORMULA(F37),IFERROR(ROUND(F37,4)=ROUND(AA37,4),EXACT(F37,AA37)))</f>
        <v/>
      </c>
    </row>
    <row r="38">
      <c r="A38" s="13" t="inlineStr">
        <is>
          <t>축</t>
        </is>
      </c>
      <c r="B38" s="13" t="inlineStr">
        <is>
          <t>A</t>
        </is>
      </c>
      <c r="C38" s="13" t="n">
        <v>78000</v>
      </c>
      <c r="D38" s="17" t="n"/>
      <c r="E38" s="13" t="inlineStr">
        <is>
          <t>축</t>
        </is>
      </c>
      <c r="F38" s="19" t="n">
        <v>0</v>
      </c>
      <c r="AA38">
        <f>IFERROR(ROUND(AVERAGEIFS($C$37:$C$42,$A$37:$A$42,E38,$B$37:$B$42,"A"),-3),"없음")</f>
        <v/>
      </c>
      <c r="AB38">
        <f>AND(_xlfn.ISFORMULA(F38),IFERROR(ROUND(F38,4)=ROUND(AA38,4),EXACT(F38,AA38)))</f>
        <v/>
      </c>
    </row>
    <row r="39">
      <c r="A39" s="13" t="inlineStr">
        <is>
          <t>기어</t>
        </is>
      </c>
      <c r="B39" s="13" t="inlineStr">
        <is>
          <t>B</t>
        </is>
      </c>
      <c r="C39" s="13" t="n">
        <v>41000</v>
      </c>
      <c r="D39" s="17" t="n"/>
      <c r="E39" s="13" t="inlineStr">
        <is>
          <t>밸브</t>
        </is>
      </c>
      <c r="F39" s="19" t="n">
        <v>0</v>
      </c>
      <c r="AA39">
        <f>IFERROR(ROUND(AVERAGEIFS($C$37:$C$42,$A$37:$A$42,E39,$B$37:$B$42,"A"),-3),"없음")</f>
        <v/>
      </c>
      <c r="AB39">
        <f>AND(_xlfn.ISFORMULA(F39),IFERROR(ROUND(F39,4)=ROUND(AA39,4),EXACT(F39,AA39)))</f>
        <v/>
      </c>
    </row>
    <row r="40">
      <c r="A40" s="13" t="inlineStr">
        <is>
          <t>축</t>
        </is>
      </c>
      <c r="B40" s="13" t="inlineStr">
        <is>
          <t>B</t>
        </is>
      </c>
      <c r="C40" s="13" t="n">
        <v>70500</v>
      </c>
      <c r="D40" s="17" t="n"/>
      <c r="E40" s="13" t="inlineStr">
        <is>
          <t>커플링</t>
        </is>
      </c>
      <c r="F40" s="19" t="n">
        <v>0</v>
      </c>
      <c r="AA40">
        <f>IFERROR(ROUND(AVERAGEIFS($C$37:$C$42,$A$37:$A$42,E40,$B$37:$B$42,"A"),-3),"없음")</f>
        <v/>
      </c>
      <c r="AB40">
        <f>AND(_xlfn.ISFORMULA(F40),IFERROR(ROUND(F40,4)=ROUND(AA40,4),EXACT(F40,AA40)))</f>
        <v/>
      </c>
    </row>
    <row r="41">
      <c r="A41" s="13" t="inlineStr">
        <is>
          <t>기어</t>
        </is>
      </c>
      <c r="B41" s="13" t="inlineStr">
        <is>
          <t>A</t>
        </is>
      </c>
      <c r="C41" s="13" t="n">
        <v>46250</v>
      </c>
      <c r="D41" s="17" t="n"/>
      <c r="E41" s="17" t="n"/>
      <c r="F41" s="17" t="n"/>
    </row>
    <row r="42">
      <c r="A42" s="13" t="inlineStr">
        <is>
          <t>커플링</t>
        </is>
      </c>
      <c r="B42" s="13" t="inlineStr">
        <is>
          <t>B</t>
        </is>
      </c>
      <c r="C42" s="13" t="n">
        <v>8000</v>
      </c>
      <c r="D42" s="17" t="n"/>
      <c r="E42" s="17" t="n"/>
      <c r="F42" s="17" t="n"/>
    </row>
    <row r="45">
      <c r="A45" s="16" t="inlineStr">
        <is>
          <t>[표5] 운송비 (사용자 정의 함수)</t>
        </is>
      </c>
    </row>
    <row r="46">
      <c r="A46" s="11" t="inlineStr">
        <is>
          <t>출하번호</t>
        </is>
      </c>
      <c r="B46" s="11" t="inlineStr">
        <is>
          <t>중량(kg)</t>
        </is>
      </c>
      <c r="C46" s="11" t="inlineStr">
        <is>
          <t>거리(km)</t>
        </is>
      </c>
      <c r="D46" s="11" t="inlineStr">
        <is>
          <t>운송비</t>
        </is>
      </c>
    </row>
    <row r="47">
      <c r="A47" s="13" t="inlineStr">
        <is>
          <t>T-1</t>
        </is>
      </c>
      <c r="B47" s="13" t="n">
        <v>80</v>
      </c>
      <c r="C47" s="13" t="n">
        <v>30</v>
      </c>
      <c r="D47" s="19" t="n">
        <v>0</v>
      </c>
      <c r="AA47">
        <f>IF(B47&lt;=100,C47*500,C47*800)</f>
        <v/>
      </c>
      <c r="AB47">
        <f>AND(_xlfn.ISFORMULA(D47),IFERROR(ROUND(D47,4)=ROUND(AA47,4),EXACT(D47,AA47)))</f>
        <v/>
      </c>
    </row>
    <row r="48">
      <c r="A48" s="13" t="inlineStr">
        <is>
          <t>T-2</t>
        </is>
      </c>
      <c r="B48" s="13" t="n">
        <v>100</v>
      </c>
      <c r="C48" s="13" t="n">
        <v>50</v>
      </c>
      <c r="D48" s="19" t="n">
        <v>0</v>
      </c>
      <c r="AA48">
        <f>IF(B48&lt;=100,C48*500,C48*800)</f>
        <v/>
      </c>
      <c r="AB48">
        <f>AND(_xlfn.ISFORMULA(D48),IFERROR(ROUND(D48,4)=ROUND(AA48,4),EXACT(D48,AA48)))</f>
        <v/>
      </c>
    </row>
    <row r="49">
      <c r="A49" s="13" t="inlineStr">
        <is>
          <t>T-3</t>
        </is>
      </c>
      <c r="B49" s="13" t="n">
        <v>101</v>
      </c>
      <c r="C49" s="13" t="n">
        <v>50</v>
      </c>
      <c r="D49" s="19" t="n">
        <v>0</v>
      </c>
      <c r="AA49">
        <f>IF(B49&lt;=100,C49*500,C49*800)</f>
        <v/>
      </c>
      <c r="AB49">
        <f>AND(_xlfn.ISFORMULA(D49),IFERROR(ROUND(D49,4)=ROUND(AA49,4),EXACT(D49,AA49)))</f>
        <v/>
      </c>
    </row>
    <row r="50">
      <c r="A50" s="13" t="inlineStr">
        <is>
          <t>T-4</t>
        </is>
      </c>
      <c r="B50" s="13" t="n">
        <v>450</v>
      </c>
      <c r="C50" s="13" t="n">
        <v>12</v>
      </c>
      <c r="D50" s="19" t="n">
        <v>0</v>
      </c>
      <c r="AA50">
        <f>IF(B50&lt;=100,C50*500,C50*800)</f>
        <v/>
      </c>
      <c r="AB50">
        <f>AND(_xlfn.ISFORMULA(D50),IFERROR(ROUND(D50,4)=ROUND(AA50,4),EXACT(D50,AA50)))</f>
        <v/>
      </c>
    </row>
    <row r="51">
      <c r="A51" s="13" t="inlineStr">
        <is>
          <t>T-5</t>
        </is>
      </c>
      <c r="B51" s="13" t="n">
        <v>20</v>
      </c>
      <c r="C51" s="13" t="n">
        <v>200</v>
      </c>
      <c r="D51" s="19" t="n">
        <v>0</v>
      </c>
      <c r="AA51">
        <f>IF(B51&lt;=100,C51*500,C51*800)</f>
        <v/>
      </c>
      <c r="AB51">
        <f>AND(_xlfn.ISFORMULA(D51),IFERROR(ROUND(D51,4)=ROUND(AA51,4),EXACT(D51,AA51)))</f>
        <v/>
      </c>
    </row>
    <row r="52">
      <c r="A52" s="13" t="inlineStr">
        <is>
          <t>T-6</t>
        </is>
      </c>
      <c r="B52" s="13" t="n">
        <v>1000</v>
      </c>
      <c r="C52" s="13" t="n">
        <v>5</v>
      </c>
      <c r="D52" s="19" t="n">
        <v>0</v>
      </c>
      <c r="AA52">
        <f>IF(B52&lt;=100,C52*500,C52*800)</f>
        <v/>
      </c>
      <c r="AB52">
        <f>AND(_xlfn.ISFORMULA(D52),IFERROR(ROUND(D52,4)=ROUND(AA52,4),EXACT(D52,AA52)))</f>
        <v/>
      </c>
    </row>
  </sheetData>
  <mergeCells count="5">
    <mergeCell ref="A45:D45"/>
    <mergeCell ref="A25:I25"/>
    <mergeCell ref="A1:G1"/>
    <mergeCell ref="A13:F13"/>
    <mergeCell ref="A35:F3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</cols>
  <sheetData>
    <row r="1" ht="26" customHeight="1">
      <c r="A1" s="10" t="inlineStr">
        <is>
          <t>분석작업-1</t>
        </is>
      </c>
    </row>
    <row r="3">
      <c r="A3" s="11" t="inlineStr">
        <is>
          <t>출하일</t>
        </is>
      </c>
      <c r="B3" s="11" t="inlineStr">
        <is>
          <t>출하번호</t>
        </is>
      </c>
      <c r="C3" s="11" t="inlineStr">
        <is>
          <t>거래처</t>
        </is>
      </c>
      <c r="D3" s="11" t="inlineStr">
        <is>
          <t>제품</t>
        </is>
      </c>
      <c r="E3" s="11" t="inlineStr">
        <is>
          <t>수량</t>
        </is>
      </c>
      <c r="F3" s="11" t="inlineStr">
        <is>
          <t>금액</t>
        </is>
      </c>
    </row>
    <row r="4">
      <c r="A4" s="12" t="n">
        <v>46267</v>
      </c>
      <c r="B4" s="13" t="inlineStr">
        <is>
          <t>S-001</t>
        </is>
      </c>
      <c r="C4" s="13" t="inlineStr">
        <is>
          <t>대한기계</t>
        </is>
      </c>
      <c r="D4" s="13" t="inlineStr">
        <is>
          <t>감속기어</t>
        </is>
      </c>
      <c r="E4" s="14" t="n">
        <v>420</v>
      </c>
      <c r="F4" s="14" t="n">
        <v>18900000</v>
      </c>
    </row>
    <row r="5">
      <c r="A5" s="12" t="n">
        <v>46270</v>
      </c>
      <c r="B5" s="13" t="inlineStr">
        <is>
          <t>S-002</t>
        </is>
      </c>
      <c r="C5" s="13" t="inlineStr">
        <is>
          <t>한빛정밀</t>
        </is>
      </c>
      <c r="D5" s="13" t="inlineStr">
        <is>
          <t>구동축</t>
        </is>
      </c>
      <c r="E5" s="14" t="n">
        <v>160</v>
      </c>
      <c r="F5" s="14" t="n">
        <v>12480000</v>
      </c>
    </row>
    <row r="6">
      <c r="A6" s="12" t="n">
        <v>46274</v>
      </c>
      <c r="B6" s="13" t="inlineStr">
        <is>
          <t>S-003</t>
        </is>
      </c>
      <c r="C6" s="13" t="inlineStr">
        <is>
          <t>대한기계</t>
        </is>
      </c>
      <c r="D6" s="13" t="inlineStr">
        <is>
          <t>밸브블록</t>
        </is>
      </c>
      <c r="E6" s="14" t="n">
        <v>300</v>
      </c>
      <c r="F6" s="14" t="n">
        <v>9900000</v>
      </c>
    </row>
    <row r="7">
      <c r="A7" s="12" t="n">
        <v>46280</v>
      </c>
      <c r="B7" s="13" t="inlineStr">
        <is>
          <t>S-004</t>
        </is>
      </c>
      <c r="C7" s="13" t="inlineStr">
        <is>
          <t>서해산업</t>
        </is>
      </c>
      <c r="D7" s="13" t="inlineStr">
        <is>
          <t>커플링</t>
        </is>
      </c>
      <c r="E7" s="14" t="n">
        <v>520</v>
      </c>
      <c r="F7" s="14" t="n">
        <v>4160000</v>
      </c>
    </row>
    <row r="8">
      <c r="A8" s="12" t="n">
        <v>46287</v>
      </c>
      <c r="B8" s="13" t="inlineStr">
        <is>
          <t>S-005</t>
        </is>
      </c>
      <c r="C8" s="13" t="inlineStr">
        <is>
          <t>한빛정밀</t>
        </is>
      </c>
      <c r="D8" s="13" t="inlineStr">
        <is>
          <t>감속기어</t>
        </is>
      </c>
      <c r="E8" s="14" t="n">
        <v>250</v>
      </c>
      <c r="F8" s="14" t="n">
        <v>11250000</v>
      </c>
    </row>
    <row r="9">
      <c r="A9" s="12" t="n">
        <v>46294</v>
      </c>
      <c r="B9" s="13" t="inlineStr">
        <is>
          <t>S-006</t>
        </is>
      </c>
      <c r="C9" s="13" t="inlineStr">
        <is>
          <t>서해산업</t>
        </is>
      </c>
      <c r="D9" s="13" t="inlineStr">
        <is>
          <t>구동축</t>
        </is>
      </c>
      <c r="E9" s="14" t="n">
        <v>90</v>
      </c>
      <c r="F9" s="14" t="n">
        <v>7020000</v>
      </c>
    </row>
    <row r="10">
      <c r="A10" s="12" t="n">
        <v>46296</v>
      </c>
      <c r="B10" s="13" t="inlineStr">
        <is>
          <t>S-007</t>
        </is>
      </c>
      <c r="C10" s="13" t="inlineStr">
        <is>
          <t>대한기계</t>
        </is>
      </c>
      <c r="D10" s="13" t="inlineStr">
        <is>
          <t>커플링</t>
        </is>
      </c>
      <c r="E10" s="14" t="n">
        <v>610</v>
      </c>
      <c r="F10" s="14" t="n">
        <v>4880000</v>
      </c>
    </row>
    <row r="11">
      <c r="A11" s="12" t="n">
        <v>46301</v>
      </c>
      <c r="B11" s="13" t="inlineStr">
        <is>
          <t>S-008</t>
        </is>
      </c>
      <c r="C11" s="13" t="inlineStr">
        <is>
          <t>한빛정밀</t>
        </is>
      </c>
      <c r="D11" s="13" t="inlineStr">
        <is>
          <t>밸브블록</t>
        </is>
      </c>
      <c r="E11" s="14" t="n">
        <v>330</v>
      </c>
      <c r="F11" s="14" t="n">
        <v>10890000</v>
      </c>
    </row>
    <row r="12">
      <c r="A12" s="12" t="n">
        <v>46308</v>
      </c>
      <c r="B12" s="13" t="inlineStr">
        <is>
          <t>S-009</t>
        </is>
      </c>
      <c r="C12" s="13" t="inlineStr">
        <is>
          <t>서해산업</t>
        </is>
      </c>
      <c r="D12" s="13" t="inlineStr">
        <is>
          <t>감속기어</t>
        </is>
      </c>
      <c r="E12" s="14" t="n">
        <v>180</v>
      </c>
      <c r="F12" s="14" t="n">
        <v>8100000</v>
      </c>
    </row>
    <row r="13">
      <c r="A13" s="12" t="n">
        <v>46315</v>
      </c>
      <c r="B13" s="13" t="inlineStr">
        <is>
          <t>S-010</t>
        </is>
      </c>
      <c r="C13" s="13" t="inlineStr">
        <is>
          <t>대한기계</t>
        </is>
      </c>
      <c r="D13" s="13" t="inlineStr">
        <is>
          <t>구동축</t>
        </is>
      </c>
      <c r="E13" s="14" t="n">
        <v>210</v>
      </c>
      <c r="F13" s="14" t="n">
        <v>16380000</v>
      </c>
    </row>
    <row r="14">
      <c r="A14" s="12" t="n">
        <v>46322</v>
      </c>
      <c r="B14" s="13" t="inlineStr">
        <is>
          <t>S-011</t>
        </is>
      </c>
      <c r="C14" s="13" t="inlineStr">
        <is>
          <t>한빛정밀</t>
        </is>
      </c>
      <c r="D14" s="13" t="inlineStr">
        <is>
          <t>커플링</t>
        </is>
      </c>
      <c r="E14" s="14" t="n">
        <v>700</v>
      </c>
      <c r="F14" s="14" t="n">
        <v>5600000</v>
      </c>
    </row>
    <row r="15">
      <c r="A15" s="12" t="n">
        <v>46325</v>
      </c>
      <c r="B15" s="13" t="inlineStr">
        <is>
          <t>S-012</t>
        </is>
      </c>
      <c r="C15" s="13" t="inlineStr">
        <is>
          <t>서해산업</t>
        </is>
      </c>
      <c r="D15" s="13" t="inlineStr">
        <is>
          <t>밸브블록</t>
        </is>
      </c>
      <c r="E15" s="14" t="n">
        <v>260</v>
      </c>
      <c r="F15" s="14" t="n">
        <v>8580000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3" customWidth="1" min="4" max="4"/>
    <col width="3" customWidth="1" min="5" max="5"/>
    <col width="3" customWidth="1" min="6" max="6"/>
    <col width="3" customWidth="1" min="7" max="7"/>
    <col width="12" customWidth="1" min="8" max="8"/>
    <col width="10" customWidth="1" min="9" max="9"/>
    <col width="10" customWidth="1" min="10" max="10"/>
  </cols>
  <sheetData>
    <row r="1" ht="26" customHeight="1">
      <c r="A1" s="10" t="inlineStr">
        <is>
          <t>월별 제품 출하</t>
        </is>
      </c>
    </row>
    <row r="2">
      <c r="H2" s="16" t="inlineStr">
        <is>
          <t>통합 결과 (평균)</t>
        </is>
      </c>
    </row>
    <row r="3">
      <c r="A3" s="16" t="inlineStr">
        <is>
          <t>[7월]</t>
        </is>
      </c>
      <c r="H3" s="11" t="inlineStr">
        <is>
          <t>제품</t>
        </is>
      </c>
      <c r="I3" s="11" t="inlineStr">
        <is>
          <t>수량</t>
        </is>
      </c>
      <c r="J3" s="11" t="inlineStr">
        <is>
          <t>금액</t>
        </is>
      </c>
    </row>
    <row r="4">
      <c r="A4" s="11" t="inlineStr">
        <is>
          <t>제품</t>
        </is>
      </c>
      <c r="B4" s="11" t="inlineStr">
        <is>
          <t>수량</t>
        </is>
      </c>
      <c r="C4" s="11" t="inlineStr">
        <is>
          <t>금액</t>
        </is>
      </c>
      <c r="H4" s="13" t="inlineStr">
        <is>
          <t>감속기어</t>
        </is>
      </c>
      <c r="I4" s="13" t="n"/>
      <c r="J4" s="13" t="n"/>
    </row>
    <row r="5">
      <c r="A5" s="13" t="inlineStr">
        <is>
          <t>감속기어</t>
        </is>
      </c>
      <c r="B5" s="13" t="n">
        <v>400</v>
      </c>
      <c r="C5" s="13" t="n">
        <v>180</v>
      </c>
      <c r="H5" s="13" t="inlineStr">
        <is>
          <t>구동축</t>
        </is>
      </c>
      <c r="I5" s="13" t="n"/>
      <c r="J5" s="13" t="n"/>
    </row>
    <row r="6">
      <c r="A6" s="13" t="inlineStr">
        <is>
          <t>구동축</t>
        </is>
      </c>
      <c r="B6" s="13" t="n">
        <v>150</v>
      </c>
      <c r="C6" s="13" t="n">
        <v>117</v>
      </c>
      <c r="H6" s="13" t="inlineStr">
        <is>
          <t>밸브블록</t>
        </is>
      </c>
      <c r="I6" s="13" t="n"/>
      <c r="J6" s="13" t="n"/>
    </row>
    <row r="7">
      <c r="A7" s="13" t="inlineStr">
        <is>
          <t>밸브블록</t>
        </is>
      </c>
      <c r="B7" s="13" t="n">
        <v>280</v>
      </c>
      <c r="C7" s="13" t="n">
        <v>92</v>
      </c>
      <c r="H7" s="13" t="inlineStr">
        <is>
          <t>커플링</t>
        </is>
      </c>
      <c r="I7" s="13" t="n"/>
      <c r="J7" s="13" t="n"/>
    </row>
    <row r="8">
      <c r="A8" s="13" t="inlineStr">
        <is>
          <t>커플링</t>
        </is>
      </c>
      <c r="B8" s="13" t="n">
        <v>500</v>
      </c>
      <c r="C8" s="13" t="n">
        <v>40</v>
      </c>
      <c r="H8" s="13" t="inlineStr">
        <is>
          <t>베어링</t>
        </is>
      </c>
      <c r="I8" s="13" t="n"/>
      <c r="J8" s="13" t="n"/>
    </row>
    <row r="10">
      <c r="A10" s="16" t="inlineStr">
        <is>
          <t>[8월]</t>
        </is>
      </c>
    </row>
    <row r="11">
      <c r="A11" s="11" t="inlineStr">
        <is>
          <t>제품</t>
        </is>
      </c>
      <c r="B11" s="11" t="inlineStr">
        <is>
          <t>수량</t>
        </is>
      </c>
      <c r="C11" s="11" t="inlineStr">
        <is>
          <t>금액</t>
        </is>
      </c>
    </row>
    <row r="12">
      <c r="A12" s="13" t="inlineStr">
        <is>
          <t>구동축</t>
        </is>
      </c>
      <c r="B12" s="13" t="n">
        <v>170</v>
      </c>
      <c r="C12" s="13" t="n">
        <v>132</v>
      </c>
    </row>
    <row r="13">
      <c r="A13" s="13" t="inlineStr">
        <is>
          <t>감속기어</t>
        </is>
      </c>
      <c r="B13" s="13" t="n">
        <v>380</v>
      </c>
      <c r="C13" s="13" t="n">
        <v>171</v>
      </c>
    </row>
    <row r="14">
      <c r="A14" s="13" t="inlineStr">
        <is>
          <t>커플링</t>
        </is>
      </c>
      <c r="B14" s="13" t="n">
        <v>620</v>
      </c>
      <c r="C14" s="13" t="n">
        <v>49</v>
      </c>
    </row>
    <row r="15">
      <c r="A15" s="13" t="inlineStr">
        <is>
          <t>베어링</t>
        </is>
      </c>
      <c r="B15" s="13" t="n">
        <v>300</v>
      </c>
      <c r="C15" s="13" t="n">
        <v>36</v>
      </c>
    </row>
    <row r="17">
      <c r="A17" s="16" t="inlineStr">
        <is>
          <t>[9월]</t>
        </is>
      </c>
    </row>
    <row r="18">
      <c r="A18" s="11" t="inlineStr">
        <is>
          <t>제품</t>
        </is>
      </c>
      <c r="B18" s="11" t="inlineStr">
        <is>
          <t>수량</t>
        </is>
      </c>
      <c r="C18" s="11" t="inlineStr">
        <is>
          <t>금액</t>
        </is>
      </c>
    </row>
    <row r="19">
      <c r="A19" s="13" t="inlineStr">
        <is>
          <t>밸브블록</t>
        </is>
      </c>
      <c r="B19" s="13" t="n">
        <v>320</v>
      </c>
      <c r="C19" s="13" t="n">
        <v>105</v>
      </c>
    </row>
    <row r="20">
      <c r="A20" s="13" t="inlineStr">
        <is>
          <t>감속기어</t>
        </is>
      </c>
      <c r="B20" s="13" t="n">
        <v>420</v>
      </c>
      <c r="C20" s="13" t="n">
        <v>189</v>
      </c>
    </row>
    <row r="21">
      <c r="A21" s="13" t="inlineStr">
        <is>
          <t>베어링</t>
        </is>
      </c>
      <c r="B21" s="13" t="n">
        <v>260</v>
      </c>
      <c r="C21" s="13" t="n">
        <v>31</v>
      </c>
    </row>
    <row r="22">
      <c r="A22" s="13" t="inlineStr">
        <is>
          <t>구동축</t>
        </is>
      </c>
      <c r="B22" s="13" t="n">
        <v>160</v>
      </c>
      <c r="C22" s="13" t="n">
        <v>125</v>
      </c>
    </row>
  </sheetData>
  <mergeCells count="5">
    <mergeCell ref="A10:C10"/>
    <mergeCell ref="A1:J1"/>
    <mergeCell ref="A17:C17"/>
    <mergeCell ref="A3:C3"/>
    <mergeCell ref="H2:J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0" t="inlineStr">
        <is>
          <t>거래처별 출하 금액</t>
        </is>
      </c>
    </row>
    <row r="3">
      <c r="A3" s="11" t="inlineStr">
        <is>
          <t>거래처</t>
        </is>
      </c>
      <c r="B3" s="11" t="inlineStr">
        <is>
          <t>9월</t>
        </is>
      </c>
      <c r="C3" s="11" t="inlineStr">
        <is>
          <t>10월</t>
        </is>
      </c>
    </row>
    <row r="4">
      <c r="A4" s="13" t="inlineStr">
        <is>
          <t>대한기계</t>
        </is>
      </c>
      <c r="B4" s="21" t="n">
        <v>28.8</v>
      </c>
      <c r="C4" s="21" t="n">
        <v>21.3</v>
      </c>
    </row>
    <row r="5">
      <c r="A5" s="13" t="inlineStr">
        <is>
          <t>한빛정밀</t>
        </is>
      </c>
      <c r="B5" s="21" t="n">
        <v>23.7</v>
      </c>
      <c r="C5" s="21" t="n">
        <v>16.5</v>
      </c>
    </row>
    <row r="6">
      <c r="A6" s="13" t="inlineStr">
        <is>
          <t>서해산업</t>
        </is>
      </c>
      <c r="B6" s="21" t="n">
        <v>11.2</v>
      </c>
      <c r="C6" s="21" t="n">
        <v>16.7</v>
      </c>
    </row>
    <row r="7">
      <c r="A7" s="13" t="inlineStr">
        <is>
          <t>동양기공</t>
        </is>
      </c>
      <c r="B7" s="21" t="n">
        <v>9.4</v>
      </c>
      <c r="C7" s="21" t="n">
        <v>12.8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10" t="inlineStr">
        <is>
          <t>매크로</t>
        </is>
      </c>
    </row>
    <row r="3">
      <c r="A3" s="11" t="inlineStr">
        <is>
          <t>거래처</t>
        </is>
      </c>
      <c r="B3" s="11" t="inlineStr">
        <is>
          <t>9월</t>
        </is>
      </c>
      <c r="C3" s="11" t="inlineStr">
        <is>
          <t>10월</t>
        </is>
      </c>
      <c r="D3" s="11" t="inlineStr">
        <is>
          <t>합계</t>
        </is>
      </c>
    </row>
    <row r="4">
      <c r="A4" s="13" t="inlineStr">
        <is>
          <t>대한기계</t>
        </is>
      </c>
      <c r="B4" s="13" t="n">
        <v>28.8</v>
      </c>
      <c r="C4" s="13" t="n">
        <v>21.3</v>
      </c>
      <c r="D4" s="22" t="n"/>
    </row>
    <row r="5">
      <c r="A5" s="13" t="inlineStr">
        <is>
          <t>한빛정밀</t>
        </is>
      </c>
      <c r="B5" s="13" t="n">
        <v>23.7</v>
      </c>
      <c r="C5" s="13" t="n">
        <v>16.5</v>
      </c>
      <c r="D5" s="22" t="n"/>
    </row>
    <row r="6">
      <c r="A6" s="13" t="inlineStr">
        <is>
          <t>서해산업</t>
        </is>
      </c>
      <c r="B6" s="13" t="n">
        <v>11.2</v>
      </c>
      <c r="C6" s="13" t="n">
        <v>16.7</v>
      </c>
      <c r="D6" s="22" t="n"/>
    </row>
    <row r="7">
      <c r="A7" s="13" t="inlineStr">
        <is>
          <t>동양기공</t>
        </is>
      </c>
      <c r="B7" s="13" t="n">
        <v>9.4</v>
      </c>
      <c r="C7" s="13" t="n">
        <v>12.8</v>
      </c>
      <c r="D7" s="22" t="n"/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 ht="26" customHeight="1">
      <c r="A1" s="10" t="inlineStr">
        <is>
          <t>VBA 프로그래밍</t>
        </is>
      </c>
    </row>
    <row r="3">
      <c r="A3" s="11" t="inlineStr">
        <is>
          <t>출하일</t>
        </is>
      </c>
      <c r="B3" s="11" t="inlineStr">
        <is>
          <t>거래처</t>
        </is>
      </c>
      <c r="C3" s="11" t="inlineStr">
        <is>
          <t>제품</t>
        </is>
      </c>
      <c r="D3" s="11" t="inlineStr">
        <is>
          <t>수량</t>
        </is>
      </c>
    </row>
    <row r="4">
      <c r="A4" s="12" t="n">
        <v>46296</v>
      </c>
      <c r="B4" s="13" t="inlineStr">
        <is>
          <t>대한기계</t>
        </is>
      </c>
      <c r="C4" s="13" t="inlineStr">
        <is>
          <t>커플링</t>
        </is>
      </c>
      <c r="D4" s="13" t="n">
        <v>610</v>
      </c>
    </row>
    <row r="5">
      <c r="A5" s="12" t="n">
        <v>46301</v>
      </c>
      <c r="B5" s="13" t="inlineStr">
        <is>
          <t>한빛정밀</t>
        </is>
      </c>
      <c r="C5" s="13" t="inlineStr">
        <is>
          <t>밸브블록</t>
        </is>
      </c>
      <c r="D5" s="13" t="n">
        <v>330</v>
      </c>
    </row>
  </sheetData>
  <mergeCells count="1"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D2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0" t="inlineStr">
        <is>
          <t>채점표 — 1급 제2회 (자동 칸은 저절로, '스스로' 칸은 G열에 O / X)</t>
        </is>
      </c>
    </row>
    <row r="3" ht="24" customHeight="1">
      <c r="A3" s="23" t="inlineStr">
        <is>
          <t>작업</t>
        </is>
      </c>
      <c r="B3" s="23" t="inlineStr">
        <is>
          <t>문항</t>
        </is>
      </c>
      <c r="C3" s="23" t="inlineStr">
        <is>
          <t>배점</t>
        </is>
      </c>
      <c r="D3" s="23" t="inlineStr">
        <is>
          <t>방식</t>
        </is>
      </c>
      <c r="E3" s="23" t="inlineStr">
        <is>
          <t>점수</t>
        </is>
      </c>
      <c r="F3" s="23" t="inlineStr">
        <is>
          <t>확인 방법</t>
        </is>
      </c>
      <c r="G3" s="23" t="inlineStr">
        <is>
          <t>O / X</t>
        </is>
      </c>
    </row>
    <row r="4" ht="30" customHeight="1">
      <c r="A4" s="13" t="inlineStr">
        <is>
          <t>기본작업-1</t>
        </is>
      </c>
      <c r="B4" s="24" t="inlineStr">
        <is>
          <t>1. 고급 필터 (결과 2행)</t>
        </is>
      </c>
      <c r="C4" s="13" t="n">
        <v>5</v>
      </c>
      <c r="D4" s="13" t="inlineStr">
        <is>
          <t>자동</t>
        </is>
      </c>
      <c r="E4" s="25">
        <f>IF(AND(SUMPRODUCT(--('기본작업-1'!$A$20:$D$22&amp;""='채점표'!$AA$4:$AD$6&amp;""))=12,COUNTA('기본작업-1'!$A$23:$D$23)=0),5,0)</f>
        <v/>
      </c>
      <c r="F4" s="26" t="inlineStr">
        <is>
          <t>자동 — A20 부터 필드 이름 + 2행 정확히</t>
        </is>
      </c>
      <c r="AA4" t="inlineStr">
        <is>
          <t>출하일</t>
        </is>
      </c>
      <c r="AB4" t="inlineStr">
        <is>
          <t>거래처</t>
        </is>
      </c>
      <c r="AC4" t="inlineStr">
        <is>
          <t>제품</t>
        </is>
      </c>
      <c r="AD4" t="inlineStr">
        <is>
          <t>수량</t>
        </is>
      </c>
    </row>
    <row r="5" ht="46" customHeight="1">
      <c r="A5" s="13" t="inlineStr">
        <is>
          <t>기본작업-1</t>
        </is>
      </c>
      <c r="B5" s="24" t="inlineStr">
        <is>
          <t>2. 조건부 서식 — S-001 · S-010 두 행만 굵은 파랑 — 수식 =AND($C4="대한기계",$F4&gt;=10000000)</t>
        </is>
      </c>
      <c r="C5" s="13" t="n">
        <v>5</v>
      </c>
      <c r="D5" s="13" t="inlineStr">
        <is>
          <t>스스로</t>
        </is>
      </c>
      <c r="E5" s="27">
        <f>IF(G5="O",C5,0)</f>
        <v/>
      </c>
      <c r="F5" s="26" t="inlineStr">
        <is>
          <t>[홈] → [조건부 서식] → [규칙 관리] 에서 수식 확인</t>
        </is>
      </c>
      <c r="G5" s="28" t="n"/>
      <c r="AA5" s="29" t="n">
        <v>46296</v>
      </c>
      <c r="AB5" t="inlineStr">
        <is>
          <t>대한기계</t>
        </is>
      </c>
      <c r="AC5" t="inlineStr">
        <is>
          <t>커플링</t>
        </is>
      </c>
      <c r="AD5" t="n">
        <v>610</v>
      </c>
    </row>
    <row r="6" ht="30" customHeight="1">
      <c r="A6" s="13" t="inlineStr">
        <is>
          <t>기본작업-2</t>
        </is>
      </c>
      <c r="B6" s="24" t="inlineStr">
        <is>
          <t>3. 시트 보호 — 문제 조건 모두</t>
        </is>
      </c>
      <c r="C6" s="13" t="n">
        <v>5</v>
      </c>
      <c r="D6" s="13" t="inlineStr">
        <is>
          <t>스스로</t>
        </is>
      </c>
      <c r="E6" s="27">
        <f>IF(G6="O",C6,0)</f>
        <v/>
      </c>
      <c r="F6" s="26" t="inlineStr">
        <is>
          <t>A1 을 누를 수 없고 B4:E10 만 고칠 수 있음 · [검토] → [시트 보호 해제] 가 보임</t>
        </is>
      </c>
      <c r="G6" s="28" t="n"/>
      <c r="AA6" s="29" t="n">
        <v>46322</v>
      </c>
      <c r="AB6" t="inlineStr">
        <is>
          <t>한빛정밀</t>
        </is>
      </c>
      <c r="AC6" t="inlineStr">
        <is>
          <t>커플링</t>
        </is>
      </c>
      <c r="AD6" t="n">
        <v>700</v>
      </c>
    </row>
    <row r="7" ht="30" customHeight="1">
      <c r="A7" s="13" t="inlineStr">
        <is>
          <t>계산작업</t>
        </is>
      </c>
      <c r="B7" s="24" t="inlineStr">
        <is>
          <t>1. [표1] 거래처·분기별 금액 [G3:G6]</t>
        </is>
      </c>
      <c r="C7" s="13" t="n">
        <v>6</v>
      </c>
      <c r="D7" s="13" t="inlineStr">
        <is>
          <t>자동</t>
        </is>
      </c>
      <c r="E7" s="25">
        <f>IF(COUNTIF('계산작업'!$AB$3:$AB$6,TRUE)=4,6,0)</f>
        <v/>
      </c>
      <c r="F7" s="26" t="inlineStr">
        <is>
          <t>자동 — 4칸 모두 맞아야 6점</t>
        </is>
      </c>
    </row>
    <row r="8" ht="30" customHeight="1">
      <c r="A8" s="13" t="inlineStr">
        <is>
          <t>계산작업</t>
        </is>
      </c>
      <c r="B8" s="24" t="inlineStr">
        <is>
          <t>2. [표2] 거래처별 최대 출하량 [F15:F17]</t>
        </is>
      </c>
      <c r="C8" s="13" t="n">
        <v>6</v>
      </c>
      <c r="D8" s="13" t="inlineStr">
        <is>
          <t>자동</t>
        </is>
      </c>
      <c r="E8" s="25">
        <f>IF(COUNTIF('계산작업'!$AB$15:$AB$17,TRUE)=3,6,0)</f>
        <v/>
      </c>
      <c r="F8" s="26" t="inlineStr">
        <is>
          <t>자동 — 3칸 모두 맞아야 6점</t>
        </is>
      </c>
      <c r="AA8" t="n">
        <v>400</v>
      </c>
      <c r="AB8" t="n">
        <v>180</v>
      </c>
    </row>
    <row r="9" ht="30" customHeight="1">
      <c r="A9" s="13" t="inlineStr">
        <is>
          <t>계산작업</t>
        </is>
      </c>
      <c r="B9" s="24" t="inlineStr">
        <is>
          <t>3. [표3] 운임 조회 [D27:D32]</t>
        </is>
      </c>
      <c r="C9" s="13" t="n">
        <v>6</v>
      </c>
      <c r="D9" s="13" t="inlineStr">
        <is>
          <t>자동</t>
        </is>
      </c>
      <c r="E9" s="25">
        <f>IF(COUNTIF('계산작업'!$AB$27:$AB$32,TRUE)=6,6,0)</f>
        <v/>
      </c>
      <c r="F9" s="26" t="inlineStr">
        <is>
          <t>자동 — 6칸 모두 맞아야 6점</t>
        </is>
      </c>
      <c r="AA9" t="n">
        <v>160</v>
      </c>
      <c r="AB9" t="n">
        <v>124.6666666666667</v>
      </c>
    </row>
    <row r="10" ht="30" customHeight="1">
      <c r="A10" s="13" t="inlineStr">
        <is>
          <t>계산작업</t>
        </is>
      </c>
      <c r="B10" s="24" t="inlineStr">
        <is>
          <t>4. [표4] 제품별 평균 단가 [F37:F40]</t>
        </is>
      </c>
      <c r="C10" s="13" t="n">
        <v>6</v>
      </c>
      <c r="D10" s="13" t="inlineStr">
        <is>
          <t>자동</t>
        </is>
      </c>
      <c r="E10" s="25">
        <f>IF(COUNTIF('계산작업'!$AB$37:$AB$40,TRUE)=4,6,0)</f>
        <v/>
      </c>
      <c r="F10" s="26" t="inlineStr">
        <is>
          <t>자동 — 4칸 모두 맞아야 6점</t>
        </is>
      </c>
      <c r="AA10" t="n">
        <v>300</v>
      </c>
      <c r="AB10" t="n">
        <v>98.5</v>
      </c>
    </row>
    <row r="11" ht="30" customHeight="1">
      <c r="A11" s="13" t="inlineStr">
        <is>
          <t>계산작업</t>
        </is>
      </c>
      <c r="B11" s="24" t="inlineStr">
        <is>
          <t>5. [표5] 운송비 (사용자 정의 함수) [D47:D52]</t>
        </is>
      </c>
      <c r="C11" s="13" t="n">
        <v>6</v>
      </c>
      <c r="D11" s="13" t="inlineStr">
        <is>
          <t>자동</t>
        </is>
      </c>
      <c r="E11" s="25">
        <f>IF(COUNTIF('계산작업'!$AB$47:$AB$52,TRUE)=6,6,0)</f>
        <v/>
      </c>
      <c r="F11" s="26" t="inlineStr">
        <is>
          <t>자동 — 6칸 모두 맞아야 6점 (함수를 만든 뒤 =fn…() 로 계산한 결과로 채점)</t>
        </is>
      </c>
      <c r="AA11" t="n">
        <v>560</v>
      </c>
      <c r="AB11" t="n">
        <v>44.5</v>
      </c>
    </row>
    <row r="12" ht="30" customHeight="1">
      <c r="A12" s="13" t="inlineStr">
        <is>
          <t>분석작업-1</t>
        </is>
      </c>
      <c r="B12" s="24" t="inlineStr">
        <is>
          <t>피벗 1) I3 에서 시작, 행이 '9월'·'10월' 두 줄, 열에 거래처 3곳</t>
        </is>
      </c>
      <c r="C12" s="13" t="n">
        <v>4</v>
      </c>
      <c r="D12" s="13" t="inlineStr">
        <is>
          <t>스스로</t>
        </is>
      </c>
      <c r="E12" s="27">
        <f>IF(G12="O",C12,0)</f>
        <v/>
      </c>
      <c r="F12" s="26" t="inlineStr">
        <is>
          <t>피벗 표를 보고 확인</t>
        </is>
      </c>
      <c r="G12" s="28" t="n"/>
      <c r="AA12" t="n">
        <v>280</v>
      </c>
      <c r="AB12" t="n">
        <v>33.5</v>
      </c>
    </row>
    <row r="13" ht="30" customHeight="1">
      <c r="A13" s="13" t="inlineStr">
        <is>
          <t>분석작업-1</t>
        </is>
      </c>
      <c r="B13" s="24" t="inlineStr">
        <is>
          <t>피벗 2) 9월 합계 63,710,000 · 10월 54,430,000 (쉼표 표시)</t>
        </is>
      </c>
      <c r="C13" s="13" t="n">
        <v>3</v>
      </c>
      <c r="D13" s="13" t="inlineStr">
        <is>
          <t>스스로</t>
        </is>
      </c>
      <c r="E13" s="27">
        <f>IF(G13="O",C13,0)</f>
        <v/>
      </c>
      <c r="F13" s="26" t="inlineStr">
        <is>
          <t>피벗 표를 보고 확인</t>
        </is>
      </c>
      <c r="G13" s="28" t="n"/>
    </row>
    <row r="14" ht="30" customHeight="1">
      <c r="A14" s="13" t="inlineStr">
        <is>
          <t>분석작업-1</t>
        </is>
      </c>
      <c r="B14" s="24" t="inlineStr">
        <is>
          <t>피벗 3) 맨 아래 '총합계' 줄이 없고 오른쪽 '총합계' 열만 있음</t>
        </is>
      </c>
      <c r="C14" s="13" t="n">
        <v>3</v>
      </c>
      <c r="D14" s="13" t="inlineStr">
        <is>
          <t>스스로</t>
        </is>
      </c>
      <c r="E14" s="27">
        <f>IF(G14="O",C14,0)</f>
        <v/>
      </c>
      <c r="F14" s="26" t="inlineStr">
        <is>
          <t>피벗 표를 보고 확인</t>
        </is>
      </c>
      <c r="G14" s="28" t="n"/>
    </row>
    <row r="15" ht="30" customHeight="1">
      <c r="A15" s="13" t="inlineStr">
        <is>
          <t>분석작업-2</t>
        </is>
      </c>
      <c r="B15" s="24" t="inlineStr">
        <is>
          <t>통합 — 제품별 수량·금액 평균 [I4:J8]</t>
        </is>
      </c>
      <c r="C15" s="13" t="n">
        <v>10</v>
      </c>
      <c r="D15" s="13" t="inlineStr">
        <is>
          <t>자동</t>
        </is>
      </c>
      <c r="E15" s="25">
        <f>IF(SUMPRODUCT(--(ROUND('분석작업-2'!$I$4:$J$8,2)=ROUND('채점표'!$AA$8:$AB$12,2)))=10,10,0)</f>
        <v/>
      </c>
      <c r="F15" s="26" t="inlineStr">
        <is>
          <t>자동</t>
        </is>
      </c>
    </row>
    <row r="16" ht="30" customHeight="1">
      <c r="A16" s="13" t="inlineStr">
        <is>
          <t>기타작업-1</t>
        </is>
      </c>
      <c r="B16" s="24" t="inlineStr">
        <is>
          <t>차트 1) '동양기공' 데이터를 차트에서 제외하시오</t>
        </is>
      </c>
      <c r="C16" s="13" t="n">
        <v>2</v>
      </c>
      <c r="D16" s="13" t="inlineStr">
        <is>
          <t>스스로</t>
        </is>
      </c>
      <c r="E16" s="27">
        <f>IF(G16="O",C16,0)</f>
        <v/>
      </c>
      <c r="F16" s="26" t="inlineStr">
        <is>
          <t>가로축에 거래처 3곳</t>
        </is>
      </c>
      <c r="G16" s="28" t="n"/>
    </row>
    <row r="17" ht="30" customHeight="1">
      <c r="A17" s="13" t="inlineStr">
        <is>
          <t>기타작업-1</t>
        </is>
      </c>
      <c r="B17" s="24" t="inlineStr">
        <is>
          <t>차트 2) 차트 종류를 '누적 세로 막대형' 으로 바꾸시오</t>
        </is>
      </c>
      <c r="C17" s="13" t="n">
        <v>2</v>
      </c>
      <c r="D17" s="13" t="inlineStr">
        <is>
          <t>스스로</t>
        </is>
      </c>
      <c r="E17" s="27">
        <f>IF(G17="O",C17,0)</f>
        <v/>
      </c>
      <c r="F17" s="26" t="inlineStr">
        <is>
          <t>막대가 위로 쌓임</t>
        </is>
      </c>
      <c r="G17" s="28" t="n"/>
    </row>
    <row r="18" ht="30" customHeight="1">
      <c r="A18" s="13" t="inlineStr">
        <is>
          <t>기타작업-1</t>
        </is>
      </c>
      <c r="B18" s="24" t="inlineStr">
        <is>
          <t>차트 3) 세로(값) 축 제목 '금액(백만 원)' 을 '세로 제목' 으로 추가하시오</t>
        </is>
      </c>
      <c r="C18" s="13" t="n">
        <v>2</v>
      </c>
      <c r="D18" s="13" t="inlineStr">
        <is>
          <t>스스로</t>
        </is>
      </c>
      <c r="E18" s="27">
        <f>IF(G18="O",C18,0)</f>
        <v/>
      </c>
      <c r="F18" s="26" t="inlineStr">
        <is>
          <t>왼쪽 세로 글자</t>
        </is>
      </c>
      <c r="G18" s="28" t="n"/>
    </row>
    <row r="19" ht="30" customHeight="1">
      <c r="A19" s="13" t="inlineStr">
        <is>
          <t>기타작업-1</t>
        </is>
      </c>
      <c r="B19" s="24" t="inlineStr">
        <is>
          <t>차트 4) '10월' 계열에 '가운데' 데이터 레이블 '값' 을 표시하시오</t>
        </is>
      </c>
      <c r="C19" s="13" t="n">
        <v>2</v>
      </c>
      <c r="D19" s="13" t="inlineStr">
        <is>
          <t>스스로</t>
        </is>
      </c>
      <c r="E19" s="27">
        <f>IF(G19="O",C19,0)</f>
        <v/>
      </c>
      <c r="F19" s="26" t="inlineStr">
        <is>
          <t>막대 안 가운데 숫자</t>
        </is>
      </c>
      <c r="G19" s="28" t="n"/>
    </row>
    <row r="20" ht="30" customHeight="1">
      <c r="A20" s="13" t="inlineStr">
        <is>
          <t>기타작업-1</t>
        </is>
      </c>
      <c r="B20" s="24" t="inlineStr">
        <is>
          <t>차트 5) 범례를 '위쪽', 차트 영역 테두리 '둥근 모서리' 를 지정하시오</t>
        </is>
      </c>
      <c r="C20" s="13" t="n">
        <v>2</v>
      </c>
      <c r="D20" s="13" t="inlineStr">
        <is>
          <t>스스로</t>
        </is>
      </c>
      <c r="E20" s="27">
        <f>IF(G20="O",C20,0)</f>
        <v/>
      </c>
      <c r="F20" s="26" t="inlineStr">
        <is>
          <t>범례가 차트 위</t>
        </is>
      </c>
      <c r="G20" s="28" t="n"/>
    </row>
    <row r="21" ht="46" customHeight="1">
      <c r="A21" s="13" t="inlineStr">
        <is>
          <t>기타작업-2</t>
        </is>
      </c>
      <c r="B21" s="24" t="inlineStr">
        <is>
          <t>매크로 1) [D4:D7] 에 합계(9월+10월)를 SUM 으로 구하는 '합계' 매크로 — [F3:G4] 영역 단추(텍스트 '합계')에 연결</t>
        </is>
      </c>
      <c r="C21" s="13" t="n">
        <v>5</v>
      </c>
      <c r="D21" s="13" t="inlineStr">
        <is>
          <t>스스로</t>
        </is>
      </c>
      <c r="E21" s="27">
        <f>IF(G21="O",C21,0)</f>
        <v/>
      </c>
      <c r="F21" s="26" t="inlineStr">
        <is>
          <t>D4 에 =SUM(B4:C4)</t>
        </is>
      </c>
      <c r="G21" s="28" t="n"/>
    </row>
    <row r="22" ht="46" customHeight="1">
      <c r="A22" s="13" t="inlineStr">
        <is>
          <t>기타작업-2</t>
        </is>
      </c>
      <c r="B22" s="24" t="inlineStr">
        <is>
          <t>매크로 2) [A3:D3] 영역에 셀 스타일 '강조색2' 를 적용하는 '스타일' 매크로 — [F6:G7] 영역 도형 '빗면'(텍스트 '스타일')에 연결</t>
        </is>
      </c>
      <c r="C22" s="13" t="n">
        <v>5</v>
      </c>
      <c r="D22" s="13" t="inlineStr">
        <is>
          <t>스스로</t>
        </is>
      </c>
      <c r="E22" s="27">
        <f>IF(G22="O",C22,0)</f>
        <v/>
      </c>
      <c r="F22" s="26" t="inlineStr">
        <is>
          <t>머리글 줄 색이 바뀜</t>
        </is>
      </c>
      <c r="G22" s="28" t="n"/>
    </row>
    <row r="23" ht="46" customHeight="1">
      <c r="A23" s="13" t="inlineStr">
        <is>
          <t>기타작업-3</t>
        </is>
      </c>
      <c r="B23" s="24" t="inlineStr">
        <is>
          <t>VBA 1) [G3] 위치 단추(텍스트 '출하 등록')에, InputBox 로 거래처·제품·수량을 받아 표 마지막 다음 줄에 넣고 출하일은 오늘 날짜로 넣는 '출하등록' 프로시저를 연결하시오.</t>
        </is>
      </c>
      <c r="C23" s="13" t="n">
        <v>5</v>
      </c>
      <c r="D23" s="13" t="inlineStr">
        <is>
          <t>스스로</t>
        </is>
      </c>
      <c r="E23" s="27">
        <f>IF(G23="O",C23,0)</f>
        <v/>
      </c>
      <c r="F23" s="26" t="inlineStr">
        <is>
          <t>6행에 새 줄</t>
        </is>
      </c>
      <c r="G23" s="28" t="n"/>
    </row>
    <row r="24" ht="46" customHeight="1">
      <c r="A24" s="13" t="inlineStr">
        <is>
          <t>기타작업-3</t>
        </is>
      </c>
      <c r="B24" s="24" t="inlineStr">
        <is>
          <t>VBA 2) 수량을 넣을 때 500 이상이면 '대량 출하입니다' 메시지가 뜨도록 '출하등록' 에 If 문을 덧붙이시오.</t>
        </is>
      </c>
      <c r="C24" s="13" t="n">
        <v>5</v>
      </c>
      <c r="D24" s="13" t="inlineStr">
        <is>
          <t>스스로</t>
        </is>
      </c>
      <c r="E24" s="27">
        <f>IF(G24="O",C24,0)</f>
        <v/>
      </c>
      <c r="F24" s="26" t="inlineStr">
        <is>
          <t>500 넣으면 메시지</t>
        </is>
      </c>
      <c r="G24" s="28" t="n"/>
    </row>
    <row r="25" ht="46" customHeight="1">
      <c r="A25" s="13" t="inlineStr">
        <is>
          <t>기타작업-3</t>
        </is>
      </c>
      <c r="B25" s="24" t="inlineStr">
        <is>
          <t>VBA 3) 통합 문서를 열 때(Workbook_Open) '출하 관리를 시작합니다' 메시지가 뜨게 하시오.</t>
        </is>
      </c>
      <c r="C25" s="13" t="n">
        <v>5</v>
      </c>
      <c r="D25" s="13" t="inlineStr">
        <is>
          <t>스스로</t>
        </is>
      </c>
      <c r="E25" s="27">
        <f>IF(G25="O",C25,0)</f>
        <v/>
      </c>
      <c r="F25" s="26" t="inlineStr">
        <is>
          <t>현재_통합_문서(ThisWorkbook) 모듈에 작성, 저장 후 다시 열면 메시지</t>
        </is>
      </c>
      <c r="G25" s="28" t="n"/>
    </row>
    <row r="27">
      <c r="B27" s="30" t="inlineStr">
        <is>
          <t>합계 (100점 만점 · 70점 이상 합격)</t>
        </is>
      </c>
      <c r="E27" s="31">
        <f>SUM(E4:E25)</f>
        <v/>
      </c>
      <c r="F27" s="30">
        <f>IF(E27&gt;=70,"🎉 합격","불합격 — 틀린 작업의 [정답·해설]을 보세요")</f>
        <v/>
      </c>
    </row>
    <row r="29" ht="30" customHeight="1">
      <c r="A29" s="6" t="inlineStr">
        <is>
          <t>'스스로' 문항은 [확인 방법] 을 보고 실제로 그렇게 되어 있으면 O. 한 군데라도 다르면 X (실제 시험은 부분 점수 없음).</t>
        </is>
      </c>
    </row>
  </sheetData>
  <mergeCells count="2">
    <mergeCell ref="A1:G1"/>
    <mergeCell ref="A29:G29"/>
  </mergeCells>
  <dataValidations count="1">
    <dataValidation sqref="G5 G6 G12 G13 G14 G16 G17 G18 G19 G20 G21 G22 G23 G24 G25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6" customWidth="1" min="3" max="3"/>
  </cols>
  <sheetData>
    <row r="1" ht="26" customHeight="1">
      <c r="A1" s="10" t="inlineStr">
        <is>
          <t>정답·해설 — 1급 제2회 (먼저 끝까지 풀고 보세요)</t>
        </is>
      </c>
    </row>
    <row r="3" ht="24" customHeight="1">
      <c r="A3" s="23" t="inlineStr">
        <is>
          <t>작업</t>
        </is>
      </c>
      <c r="B3" s="23" t="inlineStr">
        <is>
          <t>무엇을</t>
        </is>
      </c>
      <c r="C3" s="23" t="inlineStr">
        <is>
          <t>어떻게 · 정답</t>
        </is>
      </c>
    </row>
    <row r="4" ht="30" customHeight="1">
      <c r="A4" s="32" t="inlineStr">
        <is>
          <t>기본작업-1</t>
        </is>
      </c>
      <c r="B4" s="24" t="inlineStr">
        <is>
          <t>고급 필터</t>
        </is>
      </c>
      <c r="C4" s="24" t="inlineStr">
        <is>
          <t>A17 에 원본에 없는 이름(예: '조건') 또는 비워 두고, A18 에 =AND(MONTH(A4)=10,E4&gt;=AVERAGE($E$4:$E$15)) → [고급] 조건 범위 A17:A18, 복사 위치 A20:D20 (필드 이름 미리 입력)</t>
        </is>
      </c>
    </row>
    <row r="5" ht="22" customHeight="1">
      <c r="A5" s="32" t="inlineStr">
        <is>
          <t>기본작업-1</t>
        </is>
      </c>
      <c r="B5" s="24" t="inlineStr">
        <is>
          <t>조건부 서식</t>
        </is>
      </c>
      <c r="C5" s="24" t="inlineStr">
        <is>
          <t>S-001 · S-010 두 행만 굵은 파랑 — 수식 =AND($C4="대한기계",$F4&gt;=10000000)</t>
        </is>
      </c>
    </row>
    <row r="6" ht="22" customHeight="1">
      <c r="A6" s="32" t="inlineStr">
        <is>
          <t>기본작업-2</t>
        </is>
      </c>
      <c r="B6" s="24" t="inlineStr">
        <is>
          <t>시트 보호</t>
        </is>
      </c>
      <c r="C6" s="24" t="inlineStr">
        <is>
          <t>A1 을 누를 수 없고 B4:E10 만 고칠 수 있음 · [검토] → [시트 보호 해제] 가 보임</t>
        </is>
      </c>
    </row>
    <row r="7" ht="22" customHeight="1">
      <c r="A7" s="32" t="inlineStr">
        <is>
          <t>계산작업</t>
        </is>
      </c>
      <c r="B7" s="24" t="inlineStr">
        <is>
          <t>1. [표1] 거래처·분기별 금액 → [G3:G6]</t>
        </is>
      </c>
      <c r="C7" s="33" t="inlineStr">
        <is>
          <t>=SUMIFS($C$3:$C$10,$A$3:$A$10,E3,$B$3:$B$10,F3)   (첫 칸에 넣고 끝까지 끌어내리기)</t>
        </is>
      </c>
    </row>
    <row r="8" ht="30" customHeight="1">
      <c r="A8" s="32" t="inlineStr">
        <is>
          <t>계산작업</t>
        </is>
      </c>
      <c r="B8" s="24" t="inlineStr">
        <is>
          <t>2. [표2] 거래처별 최대 출하량 → [F15:F17]</t>
        </is>
      </c>
      <c r="C8" s="33" t="inlineStr">
        <is>
          <t>=MAX(IF($A$15:$A$22=E15,$C$15:$C$22))   {배열: Ctrl+Shift+Enter}   (첫 칸에 넣고 끝까지 끌어내리기)</t>
        </is>
      </c>
    </row>
    <row r="9" ht="22" customHeight="1">
      <c r="A9" s="32" t="inlineStr">
        <is>
          <t>계산작업</t>
        </is>
      </c>
      <c r="B9" s="24" t="inlineStr">
        <is>
          <t>3. [표3] 운임 조회 → [D27:D32]</t>
        </is>
      </c>
      <c r="C9" s="33" t="inlineStr">
        <is>
          <t>=VLOOKUP(B27,$F$27:$I$30,MATCH(C27,$F$26:$I$26,0),FALSE)   (첫 칸에 넣고 끝까지 끌어내리기)</t>
        </is>
      </c>
    </row>
    <row r="10" ht="30" customHeight="1">
      <c r="A10" s="32" t="inlineStr">
        <is>
          <t>계산작업</t>
        </is>
      </c>
      <c r="B10" s="24" t="inlineStr">
        <is>
          <t>4. [표4] 제품별 평균 단가 → [F37:F40]</t>
        </is>
      </c>
      <c r="C10" s="33" t="inlineStr">
        <is>
          <t>=IFERROR(ROUND(AVERAGEIFS($C$37:$C$42,$A$37:$A$42,E37,$B$37:$B$42,"A"),-3),"없음")   (첫 칸에 넣고 끝까지 끌어내리기)</t>
        </is>
      </c>
    </row>
    <row r="11" ht="180" customHeight="1">
      <c r="A11" s="32" t="inlineStr">
        <is>
          <t>계산작업</t>
        </is>
      </c>
      <c r="B11" s="24" t="inlineStr">
        <is>
          <t>5. [표5] 운송비 (사용자 정의 함수)</t>
        </is>
      </c>
      <c r="C11" s="33" t="inlineStr">
        <is>
          <t>[개발 도구] → [Visual Basic] → [삽입] → [모듈] 에 입력:
Public Function fn운송비(중량, 거리)
    If 중량 &lt;= 100 Then
        fn운송비 = 거리 * 500
    Else
        fn운송비 = 거리 * 800
    End If
End Function
그다음 D47 에 =fn운송비(B47,C47) 를 넣고 D52 까지 끌어내리기</t>
        </is>
      </c>
    </row>
    <row r="12" ht="90" customHeight="1">
      <c r="A12" s="32" t="inlineStr">
        <is>
          <t>분석작업-1</t>
        </is>
      </c>
      <c r="B12" s="24" t="inlineStr">
        <is>
          <t>피벗 테이블</t>
        </is>
      </c>
      <c r="C12" s="24" t="inlineStr">
        <is>
          <t>표 안 → [삽입] → [피벗 테이블] → 기존 워크시트 I3
출하일 → 행, 거래처 → 열, 금액 → 값
행의 날짜 하나 오른쪽 클릭 → [그룹] → '월' 만 선택
값 필드 설정 → 표시 형식 숫자·쉼표
[디자인] → [총합계] → '행의 총합계만 설정'</t>
        </is>
      </c>
    </row>
    <row r="13" ht="60" customHeight="1">
      <c r="A13" s="32" t="inlineStr">
        <is>
          <t>분석작업-2</t>
        </is>
      </c>
      <c r="B13" s="24" t="inlineStr">
        <is>
          <t>[분석작업-2] 시트에서 [표1]~[표3] 세 달의 제품별 '수량' 과 '금액' 의 평균을 [H4:J8] 에 통합하시오.</t>
        </is>
      </c>
      <c r="C13" s="24" t="inlineStr">
        <is>
          <t>H3:J8 (머리글 포함) 선택 → [데이터] → [통합]
함수 '평균', 참조에 세 표를 머리글까지 각각 [추가]
'첫 행' · '왼쪽 열' 체크 → 확인</t>
        </is>
      </c>
    </row>
    <row r="14" ht="150" customHeight="1">
      <c r="A14" s="32" t="inlineStr">
        <is>
          <t>기타작업-3</t>
        </is>
      </c>
      <c r="B14" s="24" t="inlineStr">
        <is>
          <t>1) [G3] 위치 단추</t>
        </is>
      </c>
      <c r="C14" s="33" t="inlineStr">
        <is>
          <t>Sub 출하등록()
    Dim r As Long
    r = Range("A3").CurrentRegion.Rows.Count + 3
    Cells(r, 1) = Date
    Cells(r, 2) = InputBox("거래처")
    Cells(r, 3) = InputBox("제품")
    Cells(r, 4) = Val(InputBox("수량"))
End Sub</t>
        </is>
      </c>
    </row>
    <row r="15" ht="22" customHeight="1">
      <c r="A15" s="32" t="inlineStr">
        <is>
          <t>기타작업-3</t>
        </is>
      </c>
      <c r="B15" s="24" t="inlineStr">
        <is>
          <t>2) 수량을 넣을 때 500 이상이면 '대량 출하입니다' 메시지가 뜨도록 '출</t>
        </is>
      </c>
      <c r="C15" s="33" t="inlineStr">
        <is>
          <t xml:space="preserve">    If Cells(r, 4) &gt;= 500 Then MsgBox "대량 출하입니다"</t>
        </is>
      </c>
    </row>
    <row r="16" ht="45" customHeight="1">
      <c r="A16" s="32" t="inlineStr">
        <is>
          <t>기타작업-3</t>
        </is>
      </c>
      <c r="B16" s="24" t="inlineStr">
        <is>
          <t>3) 통합 문서를 열 때</t>
        </is>
      </c>
      <c r="C16" s="33" t="inlineStr">
        <is>
          <t>Private Sub Workbook_Open()
    MsgBox "출하 관리를 시작합니다"
End Sub</t>
        </is>
      </c>
    </row>
    <row r="17" ht="22" customHeight="1">
      <c r="A17" s="32" t="inlineStr">
        <is>
          <t>기타작업-1</t>
        </is>
      </c>
      <c r="B17" s="24" t="inlineStr">
        <is>
          <t>1) '동양기공' 데이터를 차트에서 제외하시오</t>
        </is>
      </c>
      <c r="C17" s="24" t="inlineStr">
        <is>
          <t>가로축에 거래처 3곳</t>
        </is>
      </c>
    </row>
    <row r="18" ht="22" customHeight="1">
      <c r="A18" s="32" t="inlineStr">
        <is>
          <t>기타작업-1</t>
        </is>
      </c>
      <c r="B18" s="24" t="inlineStr">
        <is>
          <t>2) 차트 종류를 '누적 세로 막대형' 으로 바꾸시오</t>
        </is>
      </c>
      <c r="C18" s="24" t="inlineStr">
        <is>
          <t>막대가 위로 쌓임</t>
        </is>
      </c>
    </row>
    <row r="19" ht="22" customHeight="1">
      <c r="A19" s="32" t="inlineStr">
        <is>
          <t>기타작업-1</t>
        </is>
      </c>
      <c r="B19" s="24" t="inlineStr">
        <is>
          <t>3) 세로(값) 축 제목 '금액(백만 원)' 을 '세로 제목' 으로 추가하시오</t>
        </is>
      </c>
      <c r="C19" s="24" t="inlineStr">
        <is>
          <t>왼쪽 세로 글자</t>
        </is>
      </c>
    </row>
    <row r="20" ht="22" customHeight="1">
      <c r="A20" s="32" t="inlineStr">
        <is>
          <t>기타작업-1</t>
        </is>
      </c>
      <c r="B20" s="24" t="inlineStr">
        <is>
          <t>4) '10월' 계열에 '가운데' 데이터 레이블 '값' 을 표시하시오</t>
        </is>
      </c>
      <c r="C20" s="24" t="inlineStr">
        <is>
          <t>막대 안 가운데 숫자</t>
        </is>
      </c>
    </row>
    <row r="21" ht="22" customHeight="1">
      <c r="A21" s="32" t="inlineStr">
        <is>
          <t>기타작업-1</t>
        </is>
      </c>
      <c r="B21" s="24" t="inlineStr">
        <is>
          <t>5) 범례를 '위쪽', 차트 영역 테두리 '둥근 모서리' 를 지정하시오</t>
        </is>
      </c>
      <c r="C21" s="24" t="inlineStr">
        <is>
          <t>범례가 차트 위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2026-09-28T03:29:30Z</dcterms:created>
  <dcterms:modified xmlns:dcterms="http://purl.org/dc/terms/" xmlns:xsi="http://www.w3.org/2001/XMLSchema-instance" xsi:type="dcterms:W3CDTF">2026-09-28T03:29:30Z</dcterms:modified>
</cp:coreProperties>
</file>