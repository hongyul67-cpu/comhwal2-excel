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문제지" sheetId="2" state="visible" r:id="rId2"/>
    <sheet xmlns:r="http://schemas.openxmlformats.org/officeDocument/2006/relationships" name="기본작업-1" sheetId="3" state="visible" r:id="rId3"/>
    <sheet xmlns:r="http://schemas.openxmlformats.org/officeDocument/2006/relationships" name="기본작업-2" sheetId="4" state="visible" r:id="rId4"/>
    <sheet xmlns:r="http://schemas.openxmlformats.org/officeDocument/2006/relationships" name="계산작업" sheetId="5" state="visible" r:id="rId5"/>
    <sheet xmlns:r="http://schemas.openxmlformats.org/officeDocument/2006/relationships" name="분석작업-1" sheetId="6" state="visible" r:id="rId6"/>
    <sheet xmlns:r="http://schemas.openxmlformats.org/officeDocument/2006/relationships" name="분석작업-2" sheetId="7" state="visible" r:id="rId7"/>
    <sheet xmlns:r="http://schemas.openxmlformats.org/officeDocument/2006/relationships" name="기타작업-1" sheetId="8" state="visible" r:id="rId8"/>
    <sheet xmlns:r="http://schemas.openxmlformats.org/officeDocument/2006/relationships" name="기타작업-2" sheetId="9" state="visible" r:id="rId9"/>
    <sheet xmlns:r="http://schemas.openxmlformats.org/officeDocument/2006/relationships" name="기타작업-3" sheetId="10" state="visible" r:id="rId10"/>
    <sheet xmlns:r="http://schemas.openxmlformats.org/officeDocument/2006/relationships" name="채점표" sheetId="11" state="visible" r:id="rId11"/>
    <sheet xmlns:r="http://schemas.openxmlformats.org/officeDocument/2006/relationships" name="정답·해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1"/>
    </font>
    <font>
      <i val="1"/>
      <color rgb="00A6A6A6"/>
    </font>
    <font>
      <b val="1"/>
      <color rgb="001F3864"/>
      <sz val="13"/>
    </font>
    <font>
      <b val="1"/>
      <color rgb="001F3864"/>
      <sz val="16"/>
    </font>
    <font>
      <color rgb="00806000"/>
      <sz val="10"/>
    </font>
    <font>
      <b val="1"/>
      <color rgb="00FFFFFF"/>
      <sz val="12"/>
    </font>
    <font>
      <b val="1"/>
      <color rgb="002E5C8A"/>
    </font>
    <font>
      <b val="1"/>
      <color rgb="00FFFFFF"/>
      <sz val="11"/>
    </font>
    <font>
      <color rgb="007F7F7F"/>
      <sz val="9.5"/>
    </font>
    <font>
      <b val="1"/>
    </font>
    <font>
      <b val="1"/>
      <sz val="12"/>
    </font>
    <font>
      <name val="Consolas"/>
      <b val="1"/>
      <color rgb="001F4E79"/>
      <sz val="10"/>
    </font>
    <font>
      <sz val="11"/>
    </font>
    <font>
      <b val="1"/>
      <color rgb="002E5C8A"/>
      <sz val="12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E7EE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'기타작업-1'!B3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'기타작업-1'!$A$4:$A$8</f>
            </numRef>
          </cat>
          <val>
            <numRef>
              <f>'기타작업-1'!$B$4:$B$8</f>
            </numRef>
          </val>
        </ser>
        <ser>
          <idx val="1"/>
          <order val="1"/>
          <tx>
            <strRef>
              <f>'기타작업-1'!C3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'기타작업-1'!$A$4:$A$8</f>
            </numRef>
          </cat>
          <val>
            <numRef>
              <f>'기타작업-1'!$C$4:$C$8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실전 모의고사 제3회 — 설비 가동</t>
        </is>
      </c>
    </row>
    <row r="3" ht="19" customHeight="1">
      <c r="B3" s="2" t="inlineStr">
        <is>
          <t>1급 스프레드시트 실무와 같은 시트 이름 · 같은 배점입니다. 시간 45분, 70점 이상이면 합격.</t>
        </is>
      </c>
    </row>
    <row r="4" ht="24" customHeight="1">
      <c r="B4" s="3" t="inlineStr">
        <is>
          <t>순서</t>
        </is>
      </c>
    </row>
    <row r="5" ht="19" customHeight="1">
      <c r="B5" s="2" t="inlineStr">
        <is>
          <t>① [문제지] 시트를 읽고 → 각 작업 시트에서 풉니다.</t>
        </is>
      </c>
    </row>
    <row r="6" ht="19" customHeight="1">
      <c r="B6" s="2" t="inlineStr">
        <is>
          <t>② 계산작업 노란 칸의 0 을 지우고 첫 칸에 수식 → 끝까지 끌어내리기. 배열 수식은 Ctrl + Shift + Enter.</t>
        </is>
      </c>
    </row>
    <row r="7" ht="19" customHeight="1">
      <c r="B7" s="2" t="inlineStr">
        <is>
          <t>③ 계산작업 5번은 사용자 정의 함수 — [개발 도구] → [Visual Basic] → 모듈에 Function 을 만들고 =fn…() 로 계산합니다.</t>
        </is>
      </c>
    </row>
    <row r="8" ht="19" customHeight="1">
      <c r="B8" s="2" t="inlineStr">
        <is>
          <t>④ 다 풀면 [채점표] — 자동 칸은 저절로, '스스로' 칸은 [확인 방법] 을 보고 O / X.</t>
        </is>
      </c>
    </row>
    <row r="9" ht="34" customHeight="1">
      <c r="B9" s="4" t="inlineStr">
        <is>
          <t>함수·매크로·VBA 가 들어가면 '다른 이름으로 저장' → Excel 매크로 사용 통합 문서(*.xlsm). 그냥 저장하면 코드가 사라집니다.</t>
        </is>
      </c>
    </row>
    <row r="10" ht="34" customHeight="1">
      <c r="B10" s="4" t="inlineStr">
        <is>
          <t>[개발 도구] 탭이 없으면 [파일] → [옵션] → [리본 사용자 지정] 에서 '개발 도구' 체크.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2" customWidth="1" min="3" max="3"/>
  </cols>
  <sheetData>
    <row r="1" ht="26" customHeight="1">
      <c r="A1" s="5" t="inlineStr">
        <is>
          <t>컴퓨터활용능력 1급 실기 · 스프레드시트 실무 · 실전 모의고사 제3회 (설비 가동)</t>
        </is>
      </c>
    </row>
    <row r="2" ht="30" customHeight="1">
      <c r="A2" s="6" t="inlineStr">
        <is>
          <t>시험 시간 45분 · 100점 만점 · 70점 이상 합격.  시작 [      :      ]  끝 [      :      ]      사용자 정의 함수·매크로·VBA 를 넣었으면 Excel 매크로 사용 통합 문서(*.xlsm)로 저장하세요.</t>
        </is>
      </c>
    </row>
    <row r="4" ht="22" customHeight="1">
      <c r="A4" s="7" t="inlineStr">
        <is>
          <t xml:space="preserve">  기본작업-1  ·  10점</t>
        </is>
      </c>
    </row>
    <row r="5" ht="48" customHeight="1">
      <c r="B5" s="8" t="inlineStr">
        <is>
          <t>1.</t>
        </is>
      </c>
      <c r="C5" s="9" t="inlineStr">
        <is>
          <t>[A3:F15] 영역에서 구분이 '프레스' 이거나 가동률이 75% 미만인 행의 '설비코드', '설비명', '가동률' 열만 고급 필터로 추출하시오.
· 조건은 [A17:B19] 영역에 입력  · 결과는 [A21] 셀부터 표시</t>
        </is>
      </c>
    </row>
    <row r="6" ht="32" customHeight="1">
      <c r="B6" s="8" t="inlineStr">
        <is>
          <t>2.</t>
        </is>
      </c>
      <c r="C6" s="9" t="inlineStr">
        <is>
          <t>[A4:F15] 영역에서 가동률이 상위 3위 이내인 행 전체에 채우기 색 '연한 녹색' 을 적용하시오.
· LARGE 함수를 사용한 수식으로 조건 지정</t>
        </is>
      </c>
    </row>
    <row r="7" ht="22" customHeight="1">
      <c r="A7" s="7" t="inlineStr">
        <is>
          <t xml:space="preserve">  기본작업-2  ·  5점</t>
        </is>
      </c>
    </row>
    <row r="8" ht="48" customHeight="1">
      <c r="B8" s="8" t="inlineStr">
        <is>
          <t>3.</t>
        </is>
      </c>
      <c r="C8" s="9" t="inlineStr">
        <is>
          <t>[기본작업-2] 시트를 다음과 같이 설정하시오.
· [A1:F20] 만 인쇄 영역  · 머리글 오른쪽에 현재 날짜  · 행/열 머리글(1 2 3, A B C) 도 인쇄  · 페이지 나누기 미리 보기로 보기</t>
        </is>
      </c>
    </row>
    <row r="9" ht="22" customHeight="1">
      <c r="A9" s="7" t="inlineStr">
        <is>
          <t xml:space="preserve">  계산작업  ·  30점 (각 6점)</t>
        </is>
      </c>
    </row>
    <row r="10" ht="32" customHeight="1">
      <c r="B10" s="8" t="inlineStr">
        <is>
          <t>1.</t>
        </is>
      </c>
      <c r="C10" s="9" t="inlineStr">
        <is>
          <t>[표1]에서 구분[A3:A10]과 라인[B3:B10]이 E·F열과 같은 가동시간[C3:C10]의 평균을 소수 첫째 자리에서 올림하여 정수로 평균[G3:G5]에 표시하시오. → [G3:G5]</t>
        </is>
      </c>
    </row>
    <row r="11" ht="32" customHeight="1">
      <c r="B11" s="8" t="inlineStr">
        <is>
          <t>2.</t>
        </is>
      </c>
      <c r="C11" s="9" t="inlineStr">
        <is>
          <t>[표2]에서 구분[A15:A22]이 E열과 같으면서 가동률[C15:C22]이 90% 이상인 설비 수를 [F15:F17]에 구하시오. (SUM 함수를 이용한 배열 수식) → [F15:F17]  ※ Ctrl+Shift+Enter</t>
        </is>
      </c>
    </row>
    <row r="12" ht="32" customHeight="1">
      <c r="B12" s="8" t="inlineStr">
        <is>
          <t>3.</t>
        </is>
      </c>
      <c r="C12" s="9" t="inlineStr">
        <is>
          <t>[표3]에서 가동률[B27:B32]을 오른쪽 가로 등급표(F:I열, 기준값 이상인 구간)에서 찾아 등급[C27:C32]에 표시하시오. (HLOOKUP 함수) → [C27:C32]</t>
        </is>
      </c>
    </row>
    <row r="13" ht="32" customHeight="1">
      <c r="B13" s="8" t="inlineStr">
        <is>
          <t>4.</t>
        </is>
      </c>
      <c r="C13" s="9" t="inlineStr">
        <is>
          <t>[표4]에서 설비코드[A37:A42]의 앞 두 글자를 대문자로 바꾸고 "-" 와 코드의 마지막 세 글자를 이어 표시코드[C37:C42]에 표시하시오. (예: pr2019007 → PR-007) → [C37:C42]</t>
        </is>
      </c>
    </row>
    <row r="14" ht="80" customHeight="1">
      <c r="B14" s="8" t="inlineStr">
        <is>
          <t>5.</t>
        </is>
      </c>
      <c r="C14" s="9" t="inlineStr">
        <is>
          <t>[표5]에서 사용자 정의 함수 'fn점검' 을 작성하여 점검[C47:C52]을 표시하시오.
   fn점검은 월 가동시간을 인수로 받아, 180 이상이면 "정밀점검", 120 이상이면 "일반점검", 그 외는 "생략" 을 돌려준다.
   (Select Case 문 사용 · Public Function fn점검(가동시간)) → [C47:C52]</t>
        </is>
      </c>
    </row>
    <row r="15" ht="22" customHeight="1">
      <c r="A15" s="7" t="inlineStr">
        <is>
          <t xml:space="preserve">  분석작업-1  ·  10점</t>
        </is>
      </c>
    </row>
    <row r="16" ht="64" customHeight="1">
      <c r="B16" s="8" t="inlineStr"/>
      <c r="C16" s="9" t="inlineStr">
        <is>
          <t>[분석작업-1] 시트의 표로 피벗 테이블을 만드시오.
· 행: 구분  · 값: 가동시간의 평균, 가동률의 평균  · 위치 [I3]
· 가동시간 평균은 소수 1자리, 가동률 평균은 '백분율' 소수 1자리  · 가동률 평균 기준 내림차순 정렬</t>
        </is>
      </c>
    </row>
    <row r="17" ht="22" customHeight="1">
      <c r="A17" s="7" t="inlineStr">
        <is>
          <t xml:space="preserve">  분석작업-2  ·  10점</t>
        </is>
      </c>
    </row>
    <row r="18" ht="18" customHeight="1">
      <c r="B18" s="8" t="inlineStr"/>
      <c r="C18" s="9" t="inlineStr">
        <is>
          <t>[분석작업-2] 시트의 [A3:E20] 표에서 '설비코드' 와 '점검일' 이 같은 중복 행을 [중복된 항목 제거] 로 지우시오.</t>
        </is>
      </c>
    </row>
    <row r="19" ht="22" customHeight="1">
      <c r="A19" s="7" t="inlineStr">
        <is>
          <t xml:space="preserve">  기타작업-1  ·  10점 (각 2점)</t>
        </is>
      </c>
    </row>
    <row r="20" ht="18" customHeight="1">
      <c r="B20" s="8" t="inlineStr"/>
      <c r="C20" s="9" t="inlineStr">
        <is>
          <t>[기타작업-1] 시트의 차트(묶은 세로 막대 · 가동시간·계획시간)를 다음과 같이 고치시오. (각 2점)</t>
        </is>
      </c>
    </row>
    <row r="21" ht="18" customHeight="1">
      <c r="B21" s="8" t="inlineStr">
        <is>
          <t>1)</t>
        </is>
      </c>
      <c r="C21" s="9" t="inlineStr">
        <is>
          <t>차트 종류를 '묶은 가로 막대형' 으로 바꾸고 세로(항목) 축을 '항목을 거꾸로' 표시하시오</t>
        </is>
      </c>
    </row>
    <row r="22" ht="18" customHeight="1">
      <c r="B22" s="8" t="inlineStr">
        <is>
          <t>2)</t>
        </is>
      </c>
      <c r="C22" s="9" t="inlineStr">
        <is>
          <t>'계획시간' 계열의 채우기를 '채우기 없음', 테두리 '실선' 으로 바꾸시오</t>
        </is>
      </c>
    </row>
    <row r="23" ht="18" customHeight="1">
      <c r="B23" s="8" t="inlineStr">
        <is>
          <t>3)</t>
        </is>
      </c>
      <c r="C23" s="9" t="inlineStr">
        <is>
          <t>계열 겹치기 100%, 간격 너비 60% 로 지정하시오</t>
        </is>
      </c>
    </row>
    <row r="24" ht="18" customHeight="1">
      <c r="B24" s="8" t="inlineStr">
        <is>
          <t>4)</t>
        </is>
      </c>
      <c r="C24" s="9" t="inlineStr">
        <is>
          <t>차트 제목 '구분별 가동 현황' · 글꼴 굵게 14pt</t>
        </is>
      </c>
    </row>
    <row r="25" ht="18" customHeight="1">
      <c r="B25" s="8" t="inlineStr">
        <is>
          <t>5)</t>
        </is>
      </c>
      <c r="C25" s="9" t="inlineStr">
        <is>
          <t>'가동시간' 계열에 데이터 레이블 '안쪽 끝에' 표시하시오</t>
        </is>
      </c>
    </row>
    <row r="26" ht="22" customHeight="1">
      <c r="A26" s="7" t="inlineStr">
        <is>
          <t xml:space="preserve">  기타작업-2  ·  10점 (각 5점)</t>
        </is>
      </c>
    </row>
    <row r="27" ht="18" customHeight="1">
      <c r="B27" s="8" t="inlineStr"/>
      <c r="C27" s="9" t="inlineStr">
        <is>
          <t>[기타작업-2] 시트에서 다음 두 매크로를 만들고 연결하시오. (각 5점 · 저장은 .xlsm)</t>
        </is>
      </c>
    </row>
    <row r="28" ht="18" customHeight="1">
      <c r="B28" s="8" t="inlineStr">
        <is>
          <t>1)</t>
        </is>
      </c>
      <c r="C28" s="9" t="inlineStr">
        <is>
          <t>[D4:D8] 에 가동률(가동시간÷계획시간)을 구하는 '가동률' 매크로 — [F3:G4] 영역 단추(텍스트 '가동률')에 연결</t>
        </is>
      </c>
    </row>
    <row r="29" ht="18" customHeight="1">
      <c r="B29" s="8" t="inlineStr">
        <is>
          <t>2)</t>
        </is>
      </c>
      <c r="C29" s="9" t="inlineStr">
        <is>
          <t>[D4:D8] 에 조건부 서식 '데이터 막대 — 그라데이션 채우기 파랑' 을 적용하는 '막대' 매크로 — [F6:G7] 영역 단추(텍스트 '막대')에 연결</t>
        </is>
      </c>
    </row>
    <row r="30" ht="22" customHeight="1">
      <c r="A30" s="7" t="inlineStr">
        <is>
          <t xml:space="preserve">  기타작업-3  ·  15점 (각 5점)</t>
        </is>
      </c>
    </row>
    <row r="31" ht="48" customHeight="1">
      <c r="B31" s="8" t="inlineStr"/>
      <c r="C31" s="9" t="inlineStr">
        <is>
          <t>[기타작업-3] 시트에서 다음과 같이 프로그래밍하시오. (각 5점)
※ 실제 시험은 미리 만든 사용자 폼(입력 폼)을 쓰지만, 이 연습 파일에는 폼을 넣을 수 없어 단추·InputBox·이벤트로 같은 문법을 연습합니다.</t>
        </is>
      </c>
    </row>
    <row r="32" ht="32" customHeight="1">
      <c r="B32" s="8" t="inlineStr">
        <is>
          <t>1)</t>
        </is>
      </c>
      <c r="C32" s="9" t="inlineStr">
        <is>
          <t>[G3] 위치 단추(텍스트 '점검 등록')에, InputBox 로 설비코드·구분·비용을 받아 표 마지막 다음 줄에 넣고 점검일은 오늘 날짜로 넣는 '점검등록' 프로시저를 연결하시오.</t>
        </is>
      </c>
    </row>
    <row r="33" ht="18" customHeight="1">
      <c r="B33" s="8" t="inlineStr">
        <is>
          <t>2)</t>
        </is>
      </c>
      <c r="C33" s="9" t="inlineStr">
        <is>
          <t>구분이 '고장' 이면 그 줄의 글꼴 색을 빨강(vbRed)으로 바꾸도록 '점검등록' 에 덧붙이시오.</t>
        </is>
      </c>
    </row>
    <row r="34" ht="18" customHeight="1">
      <c r="B34" s="8" t="inlineStr">
        <is>
          <t>3)</t>
        </is>
      </c>
      <c r="C34" s="9" t="inlineStr">
        <is>
          <t>[G6] 위치 단추(텍스트 '비용 합계')에, D열 비용 합계를 '총 점검 비용: 360,000원' 처럼 메시지로 보여 주는 '비용합계' 프로시저를 연결하시오.</t>
        </is>
      </c>
    </row>
  </sheetData>
  <mergeCells count="10">
    <mergeCell ref="A19:C19"/>
    <mergeCell ref="A1:C1"/>
    <mergeCell ref="A17:C17"/>
    <mergeCell ref="A9:C9"/>
    <mergeCell ref="A7:C7"/>
    <mergeCell ref="A30:C30"/>
    <mergeCell ref="A15:C15"/>
    <mergeCell ref="A4:C4"/>
    <mergeCell ref="A26:C26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0" customWidth="1" min="7" max="7"/>
    <col width="10" customWidth="1" min="8" max="8"/>
  </cols>
  <sheetData>
    <row r="1" ht="26" customHeight="1">
      <c r="A1" s="10" t="inlineStr">
        <is>
          <t>기본작업-1</t>
        </is>
      </c>
    </row>
    <row r="3">
      <c r="A3" s="11" t="inlineStr">
        <is>
          <t>설비코드</t>
        </is>
      </c>
      <c r="B3" s="11" t="inlineStr">
        <is>
          <t>설비명</t>
        </is>
      </c>
      <c r="C3" s="11" t="inlineStr">
        <is>
          <t>구분</t>
        </is>
      </c>
      <c r="D3" s="11" t="inlineStr">
        <is>
          <t>가동시간</t>
        </is>
      </c>
      <c r="E3" s="11" t="inlineStr">
        <is>
          <t>계획시간</t>
        </is>
      </c>
      <c r="F3" s="11" t="inlineStr">
        <is>
          <t>가동률</t>
        </is>
      </c>
    </row>
    <row r="4">
      <c r="A4" s="12" t="inlineStr">
        <is>
          <t>PR-101</t>
        </is>
      </c>
      <c r="B4" s="12" t="inlineStr">
        <is>
          <t>유압프레스1</t>
        </is>
      </c>
      <c r="C4" s="12" t="inlineStr">
        <is>
          <t>프레스</t>
        </is>
      </c>
      <c r="D4" s="12" t="n">
        <v>186</v>
      </c>
      <c r="E4" s="12" t="n">
        <v>200</v>
      </c>
      <c r="F4" s="13" t="n">
        <v>0.93</v>
      </c>
    </row>
    <row r="5">
      <c r="A5" s="12" t="inlineStr">
        <is>
          <t>PR-102</t>
        </is>
      </c>
      <c r="B5" s="12" t="inlineStr">
        <is>
          <t>유압프레스2</t>
        </is>
      </c>
      <c r="C5" s="12" t="inlineStr">
        <is>
          <t>프레스</t>
        </is>
      </c>
      <c r="D5" s="12" t="n">
        <v>150</v>
      </c>
      <c r="E5" s="12" t="n">
        <v>200</v>
      </c>
      <c r="F5" s="13" t="n">
        <v>0.75</v>
      </c>
    </row>
    <row r="6">
      <c r="A6" s="12" t="inlineStr">
        <is>
          <t>WD-201</t>
        </is>
      </c>
      <c r="B6" s="12" t="inlineStr">
        <is>
          <t>스폿용접기</t>
        </is>
      </c>
      <c r="C6" s="12" t="inlineStr">
        <is>
          <t>용접</t>
        </is>
      </c>
      <c r="D6" s="12" t="n">
        <v>170</v>
      </c>
      <c r="E6" s="12" t="n">
        <v>200</v>
      </c>
      <c r="F6" s="13" t="n">
        <v>0.85</v>
      </c>
    </row>
    <row r="7">
      <c r="A7" s="12" t="inlineStr">
        <is>
          <t>WD-202</t>
        </is>
      </c>
      <c r="B7" s="12" t="inlineStr">
        <is>
          <t>아크용접기</t>
        </is>
      </c>
      <c r="C7" s="12" t="inlineStr">
        <is>
          <t>용접</t>
        </is>
      </c>
      <c r="D7" s="12" t="n">
        <v>140</v>
      </c>
      <c r="E7" s="12" t="n">
        <v>200</v>
      </c>
      <c r="F7" s="13" t="n">
        <v>0.7</v>
      </c>
    </row>
    <row r="8">
      <c r="A8" s="12" t="inlineStr">
        <is>
          <t>CN-301</t>
        </is>
      </c>
      <c r="B8" s="12" t="inlineStr">
        <is>
          <t>CNC선반</t>
        </is>
      </c>
      <c r="C8" s="12" t="inlineStr">
        <is>
          <t>가공</t>
        </is>
      </c>
      <c r="D8" s="12" t="n">
        <v>190</v>
      </c>
      <c r="E8" s="12" t="n">
        <v>200</v>
      </c>
      <c r="F8" s="13" t="n">
        <v>0.95</v>
      </c>
    </row>
    <row r="9">
      <c r="A9" s="12" t="inlineStr">
        <is>
          <t>CN-302</t>
        </is>
      </c>
      <c r="B9" s="12" t="inlineStr">
        <is>
          <t>머시닝센터</t>
        </is>
      </c>
      <c r="C9" s="12" t="inlineStr">
        <is>
          <t>가공</t>
        </is>
      </c>
      <c r="D9" s="12" t="n">
        <v>155</v>
      </c>
      <c r="E9" s="12" t="n">
        <v>200</v>
      </c>
      <c r="F9" s="13" t="n">
        <v>0.775</v>
      </c>
    </row>
    <row r="10">
      <c r="A10" s="12" t="inlineStr">
        <is>
          <t>RB-401</t>
        </is>
      </c>
      <c r="B10" s="12" t="inlineStr">
        <is>
          <t>조립로봇1</t>
        </is>
      </c>
      <c r="C10" s="12" t="inlineStr">
        <is>
          <t>조립</t>
        </is>
      </c>
      <c r="D10" s="12" t="n">
        <v>196</v>
      </c>
      <c r="E10" s="12" t="n">
        <v>200</v>
      </c>
      <c r="F10" s="13" t="n">
        <v>0.98</v>
      </c>
    </row>
    <row r="11">
      <c r="A11" s="12" t="inlineStr">
        <is>
          <t>RB-402</t>
        </is>
      </c>
      <c r="B11" s="12" t="inlineStr">
        <is>
          <t>조립로봇2</t>
        </is>
      </c>
      <c r="C11" s="12" t="inlineStr">
        <is>
          <t>조립</t>
        </is>
      </c>
      <c r="D11" s="12" t="n">
        <v>162</v>
      </c>
      <c r="E11" s="12" t="n">
        <v>200</v>
      </c>
      <c r="F11" s="13" t="n">
        <v>0.8100000000000001</v>
      </c>
    </row>
    <row r="12">
      <c r="A12" s="12" t="inlineStr">
        <is>
          <t>CV-501</t>
        </is>
      </c>
      <c r="B12" s="12" t="inlineStr">
        <is>
          <t>컨베이어</t>
        </is>
      </c>
      <c r="C12" s="12" t="inlineStr">
        <is>
          <t>이송</t>
        </is>
      </c>
      <c r="D12" s="12" t="n">
        <v>200</v>
      </c>
      <c r="E12" s="12" t="n">
        <v>200</v>
      </c>
      <c r="F12" s="13" t="n">
        <v>1</v>
      </c>
    </row>
    <row r="13">
      <c r="A13" s="12" t="inlineStr">
        <is>
          <t>AC-601</t>
        </is>
      </c>
      <c r="B13" s="12" t="inlineStr">
        <is>
          <t>공기압축기</t>
        </is>
      </c>
      <c r="C13" s="12" t="inlineStr">
        <is>
          <t>유틸</t>
        </is>
      </c>
      <c r="D13" s="12" t="n">
        <v>120</v>
      </c>
      <c r="E13" s="12" t="n">
        <v>200</v>
      </c>
      <c r="F13" s="13" t="n">
        <v>0.6</v>
      </c>
    </row>
    <row r="14">
      <c r="A14" s="12" t="inlineStr">
        <is>
          <t>PR-103</t>
        </is>
      </c>
      <c r="B14" s="12" t="inlineStr">
        <is>
          <t>단동프레스</t>
        </is>
      </c>
      <c r="C14" s="12" t="inlineStr">
        <is>
          <t>프레스</t>
        </is>
      </c>
      <c r="D14" s="12" t="n">
        <v>178</v>
      </c>
      <c r="E14" s="12" t="n">
        <v>200</v>
      </c>
      <c r="F14" s="13" t="n">
        <v>0.89</v>
      </c>
    </row>
    <row r="15">
      <c r="A15" s="12" t="inlineStr">
        <is>
          <t>CN-303</t>
        </is>
      </c>
      <c r="B15" s="12" t="inlineStr">
        <is>
          <t>밀링</t>
        </is>
      </c>
      <c r="C15" s="12" t="inlineStr">
        <is>
          <t>가공</t>
        </is>
      </c>
      <c r="D15" s="12" t="n">
        <v>140</v>
      </c>
      <c r="E15" s="12" t="n">
        <v>200</v>
      </c>
      <c r="F15" s="13" t="n">
        <v>0.7</v>
      </c>
    </row>
    <row r="21">
      <c r="A21" s="14" t="n"/>
      <c r="B21" s="14" t="n"/>
      <c r="C21" s="14" t="n"/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</cols>
  <sheetData>
    <row r="1" ht="26" customHeight="1">
      <c r="A1" s="10" t="inlineStr">
        <is>
          <t>기본작업-2 (페이지 레이아웃)</t>
        </is>
      </c>
    </row>
    <row r="3">
      <c r="A3" s="11" t="inlineStr">
        <is>
          <t>설비코드</t>
        </is>
      </c>
      <c r="B3" s="11" t="inlineStr">
        <is>
          <t>설비명</t>
        </is>
      </c>
      <c r="C3" s="11" t="inlineStr">
        <is>
          <t>구분</t>
        </is>
      </c>
      <c r="D3" s="11" t="inlineStr">
        <is>
          <t>가동시간</t>
        </is>
      </c>
      <c r="E3" s="11" t="inlineStr">
        <is>
          <t>계획시간</t>
        </is>
      </c>
      <c r="F3" s="11" t="inlineStr">
        <is>
          <t>가동률</t>
        </is>
      </c>
    </row>
    <row r="4">
      <c r="A4" s="12" t="inlineStr">
        <is>
          <t>PR-101</t>
        </is>
      </c>
      <c r="B4" s="12" t="inlineStr">
        <is>
          <t>유압프레스1</t>
        </is>
      </c>
      <c r="C4" s="12" t="inlineStr">
        <is>
          <t>프레스</t>
        </is>
      </c>
      <c r="D4" s="12" t="n">
        <v>186</v>
      </c>
      <c r="E4" s="12" t="n">
        <v>200</v>
      </c>
      <c r="F4" s="13" t="n">
        <v>0.93</v>
      </c>
    </row>
    <row r="5">
      <c r="A5" s="12" t="inlineStr">
        <is>
          <t>PR-102</t>
        </is>
      </c>
      <c r="B5" s="12" t="inlineStr">
        <is>
          <t>유압프레스2</t>
        </is>
      </c>
      <c r="C5" s="12" t="inlineStr">
        <is>
          <t>프레스</t>
        </is>
      </c>
      <c r="D5" s="12" t="n">
        <v>150</v>
      </c>
      <c r="E5" s="12" t="n">
        <v>200</v>
      </c>
      <c r="F5" s="13" t="n">
        <v>0.75</v>
      </c>
    </row>
    <row r="6">
      <c r="A6" s="12" t="inlineStr">
        <is>
          <t>WD-201</t>
        </is>
      </c>
      <c r="B6" s="12" t="inlineStr">
        <is>
          <t>스폿용접기</t>
        </is>
      </c>
      <c r="C6" s="12" t="inlineStr">
        <is>
          <t>용접</t>
        </is>
      </c>
      <c r="D6" s="12" t="n">
        <v>170</v>
      </c>
      <c r="E6" s="12" t="n">
        <v>200</v>
      </c>
      <c r="F6" s="13" t="n">
        <v>0.85</v>
      </c>
    </row>
    <row r="7">
      <c r="A7" s="12" t="inlineStr">
        <is>
          <t>WD-202</t>
        </is>
      </c>
      <c r="B7" s="12" t="inlineStr">
        <is>
          <t>아크용접기</t>
        </is>
      </c>
      <c r="C7" s="12" t="inlineStr">
        <is>
          <t>용접</t>
        </is>
      </c>
      <c r="D7" s="12" t="n">
        <v>140</v>
      </c>
      <c r="E7" s="12" t="n">
        <v>200</v>
      </c>
      <c r="F7" s="13" t="n">
        <v>0.7</v>
      </c>
    </row>
    <row r="8">
      <c r="A8" s="12" t="inlineStr">
        <is>
          <t>CN-301</t>
        </is>
      </c>
      <c r="B8" s="12" t="inlineStr">
        <is>
          <t>CNC선반</t>
        </is>
      </c>
      <c r="C8" s="12" t="inlineStr">
        <is>
          <t>가공</t>
        </is>
      </c>
      <c r="D8" s="12" t="n">
        <v>190</v>
      </c>
      <c r="E8" s="12" t="n">
        <v>200</v>
      </c>
      <c r="F8" s="13" t="n">
        <v>0.95</v>
      </c>
    </row>
    <row r="9">
      <c r="A9" s="12" t="inlineStr">
        <is>
          <t>CN-302</t>
        </is>
      </c>
      <c r="B9" s="12" t="inlineStr">
        <is>
          <t>머시닝센터</t>
        </is>
      </c>
      <c r="C9" s="12" t="inlineStr">
        <is>
          <t>가공</t>
        </is>
      </c>
      <c r="D9" s="12" t="n">
        <v>155</v>
      </c>
      <c r="E9" s="12" t="n">
        <v>200</v>
      </c>
      <c r="F9" s="13" t="n">
        <v>0.775</v>
      </c>
    </row>
    <row r="10">
      <c r="A10" s="12" t="inlineStr">
        <is>
          <t>RB-401</t>
        </is>
      </c>
      <c r="B10" s="12" t="inlineStr">
        <is>
          <t>조립로봇1</t>
        </is>
      </c>
      <c r="C10" s="12" t="inlineStr">
        <is>
          <t>조립</t>
        </is>
      </c>
      <c r="D10" s="12" t="n">
        <v>196</v>
      </c>
      <c r="E10" s="12" t="n">
        <v>200</v>
      </c>
      <c r="F10" s="13" t="n">
        <v>0.98</v>
      </c>
    </row>
    <row r="11">
      <c r="A11" s="12" t="inlineStr">
        <is>
          <t>RB-402</t>
        </is>
      </c>
      <c r="B11" s="12" t="inlineStr">
        <is>
          <t>조립로봇2</t>
        </is>
      </c>
      <c r="C11" s="12" t="inlineStr">
        <is>
          <t>조립</t>
        </is>
      </c>
      <c r="D11" s="12" t="n">
        <v>162</v>
      </c>
      <c r="E11" s="12" t="n">
        <v>200</v>
      </c>
      <c r="F11" s="13" t="n">
        <v>0.8100000000000001</v>
      </c>
    </row>
    <row r="12">
      <c r="A12" s="12" t="inlineStr">
        <is>
          <t>CV-501</t>
        </is>
      </c>
      <c r="B12" s="12" t="inlineStr">
        <is>
          <t>컨베이어</t>
        </is>
      </c>
      <c r="C12" s="12" t="inlineStr">
        <is>
          <t>이송</t>
        </is>
      </c>
      <c r="D12" s="12" t="n">
        <v>200</v>
      </c>
      <c r="E12" s="12" t="n">
        <v>200</v>
      </c>
      <c r="F12" s="13" t="n">
        <v>1</v>
      </c>
    </row>
    <row r="13">
      <c r="A13" s="12" t="inlineStr">
        <is>
          <t>AC-601</t>
        </is>
      </c>
      <c r="B13" s="12" t="inlineStr">
        <is>
          <t>공기압축기</t>
        </is>
      </c>
      <c r="C13" s="12" t="inlineStr">
        <is>
          <t>유틸</t>
        </is>
      </c>
      <c r="D13" s="12" t="n">
        <v>120</v>
      </c>
      <c r="E13" s="12" t="n">
        <v>200</v>
      </c>
      <c r="F13" s="13" t="n">
        <v>0.6</v>
      </c>
    </row>
    <row r="14">
      <c r="A14" s="12" t="inlineStr">
        <is>
          <t>PR-103</t>
        </is>
      </c>
      <c r="B14" s="12" t="inlineStr">
        <is>
          <t>단동프레스</t>
        </is>
      </c>
      <c r="C14" s="12" t="inlineStr">
        <is>
          <t>프레스</t>
        </is>
      </c>
      <c r="D14" s="12" t="n">
        <v>178</v>
      </c>
      <c r="E14" s="12" t="n">
        <v>200</v>
      </c>
      <c r="F14" s="13" t="n">
        <v>0.89</v>
      </c>
    </row>
    <row r="15">
      <c r="A15" s="12" t="inlineStr">
        <is>
          <t>CN-303</t>
        </is>
      </c>
      <c r="B15" s="12" t="inlineStr">
        <is>
          <t>밀링</t>
        </is>
      </c>
      <c r="C15" s="12" t="inlineStr">
        <is>
          <t>가공</t>
        </is>
      </c>
      <c r="D15" s="12" t="n">
        <v>140</v>
      </c>
      <c r="E15" s="12" t="n">
        <v>200</v>
      </c>
      <c r="F15" s="13" t="n">
        <v>0.7</v>
      </c>
    </row>
    <row r="16">
      <c r="A16" s="12" t="inlineStr">
        <is>
          <t>PR-101</t>
        </is>
      </c>
      <c r="B16" s="12" t="inlineStr">
        <is>
          <t>유압프레스1</t>
        </is>
      </c>
      <c r="C16" s="12" t="inlineStr">
        <is>
          <t>프레스</t>
        </is>
      </c>
      <c r="D16" s="12" t="n">
        <v>186</v>
      </c>
      <c r="E16" s="12" t="n">
        <v>200</v>
      </c>
      <c r="F16" s="13" t="n">
        <v>0.93</v>
      </c>
    </row>
    <row r="17">
      <c r="A17" s="12" t="inlineStr">
        <is>
          <t>PR-102</t>
        </is>
      </c>
      <c r="B17" s="12" t="inlineStr">
        <is>
          <t>유압프레스2</t>
        </is>
      </c>
      <c r="C17" s="12" t="inlineStr">
        <is>
          <t>프레스</t>
        </is>
      </c>
      <c r="D17" s="12" t="n">
        <v>150</v>
      </c>
      <c r="E17" s="12" t="n">
        <v>200</v>
      </c>
      <c r="F17" s="13" t="n">
        <v>0.75</v>
      </c>
    </row>
    <row r="18">
      <c r="A18" s="12" t="inlineStr">
        <is>
          <t>WD-201</t>
        </is>
      </c>
      <c r="B18" s="12" t="inlineStr">
        <is>
          <t>스폿용접기</t>
        </is>
      </c>
      <c r="C18" s="12" t="inlineStr">
        <is>
          <t>용접</t>
        </is>
      </c>
      <c r="D18" s="12" t="n">
        <v>170</v>
      </c>
      <c r="E18" s="12" t="n">
        <v>200</v>
      </c>
      <c r="F18" s="13" t="n">
        <v>0.85</v>
      </c>
    </row>
    <row r="19">
      <c r="A19" s="12" t="inlineStr">
        <is>
          <t>WD-202</t>
        </is>
      </c>
      <c r="B19" s="12" t="inlineStr">
        <is>
          <t>아크용접기</t>
        </is>
      </c>
      <c r="C19" s="12" t="inlineStr">
        <is>
          <t>용접</t>
        </is>
      </c>
      <c r="D19" s="12" t="n">
        <v>140</v>
      </c>
      <c r="E19" s="12" t="n">
        <v>200</v>
      </c>
      <c r="F19" s="13" t="n">
        <v>0.7</v>
      </c>
    </row>
    <row r="20">
      <c r="A20" s="12" t="inlineStr">
        <is>
          <t>CN-301</t>
        </is>
      </c>
      <c r="B20" s="12" t="inlineStr">
        <is>
          <t>CNC선반</t>
        </is>
      </c>
      <c r="C20" s="12" t="inlineStr">
        <is>
          <t>가공</t>
        </is>
      </c>
      <c r="D20" s="12" t="n">
        <v>190</v>
      </c>
      <c r="E20" s="12" t="n">
        <v>200</v>
      </c>
      <c r="F20" s="13" t="n">
        <v>0.95</v>
      </c>
    </row>
    <row r="21">
      <c r="A21" s="12" t="inlineStr">
        <is>
          <t>CN-302</t>
        </is>
      </c>
      <c r="B21" s="12" t="inlineStr">
        <is>
          <t>머시닝센터</t>
        </is>
      </c>
      <c r="C21" s="12" t="inlineStr">
        <is>
          <t>가공</t>
        </is>
      </c>
      <c r="D21" s="12" t="n">
        <v>155</v>
      </c>
      <c r="E21" s="12" t="n">
        <v>200</v>
      </c>
      <c r="F21" s="13" t="n">
        <v>0.775</v>
      </c>
    </row>
    <row r="22">
      <c r="A22" s="12" t="inlineStr">
        <is>
          <t>RB-401</t>
        </is>
      </c>
      <c r="B22" s="12" t="inlineStr">
        <is>
          <t>조립로봇1</t>
        </is>
      </c>
      <c r="C22" s="12" t="inlineStr">
        <is>
          <t>조립</t>
        </is>
      </c>
      <c r="D22" s="12" t="n">
        <v>196</v>
      </c>
      <c r="E22" s="12" t="n">
        <v>200</v>
      </c>
      <c r="F22" s="13" t="n">
        <v>0.98</v>
      </c>
    </row>
    <row r="23">
      <c r="A23" s="12" t="inlineStr">
        <is>
          <t>RB-402</t>
        </is>
      </c>
      <c r="B23" s="12" t="inlineStr">
        <is>
          <t>조립로봇2</t>
        </is>
      </c>
      <c r="C23" s="12" t="inlineStr">
        <is>
          <t>조립</t>
        </is>
      </c>
      <c r="D23" s="12" t="n">
        <v>162</v>
      </c>
      <c r="E23" s="12" t="n">
        <v>200</v>
      </c>
      <c r="F23" s="13" t="n">
        <v>0.8100000000000001</v>
      </c>
    </row>
    <row r="24">
      <c r="A24" s="12" t="inlineStr">
        <is>
          <t>CV-501</t>
        </is>
      </c>
      <c r="B24" s="12" t="inlineStr">
        <is>
          <t>컨베이어</t>
        </is>
      </c>
      <c r="C24" s="12" t="inlineStr">
        <is>
          <t>이송</t>
        </is>
      </c>
      <c r="D24" s="12" t="n">
        <v>200</v>
      </c>
      <c r="E24" s="12" t="n">
        <v>200</v>
      </c>
      <c r="F24" s="13" t="n">
        <v>1</v>
      </c>
    </row>
    <row r="25">
      <c r="A25" s="12" t="inlineStr">
        <is>
          <t>AC-601</t>
        </is>
      </c>
      <c r="B25" s="12" t="inlineStr">
        <is>
          <t>공기압축기</t>
        </is>
      </c>
      <c r="C25" s="12" t="inlineStr">
        <is>
          <t>유틸</t>
        </is>
      </c>
      <c r="D25" s="12" t="n">
        <v>120</v>
      </c>
      <c r="E25" s="12" t="n">
        <v>200</v>
      </c>
      <c r="F25" s="13" t="n">
        <v>0.6</v>
      </c>
    </row>
    <row r="26">
      <c r="A26" s="12" t="inlineStr">
        <is>
          <t>PR-103</t>
        </is>
      </c>
      <c r="B26" s="12" t="inlineStr">
        <is>
          <t>단동프레스</t>
        </is>
      </c>
      <c r="C26" s="12" t="inlineStr">
        <is>
          <t>프레스</t>
        </is>
      </c>
      <c r="D26" s="12" t="n">
        <v>178</v>
      </c>
      <c r="E26" s="12" t="n">
        <v>200</v>
      </c>
      <c r="F26" s="13" t="n">
        <v>0.89</v>
      </c>
    </row>
    <row r="27">
      <c r="A27" s="12" t="inlineStr">
        <is>
          <t>CN-303</t>
        </is>
      </c>
      <c r="B27" s="12" t="inlineStr">
        <is>
          <t>밀링</t>
        </is>
      </c>
      <c r="C27" s="12" t="inlineStr">
        <is>
          <t>가공</t>
        </is>
      </c>
      <c r="D27" s="12" t="n">
        <v>140</v>
      </c>
      <c r="E27" s="12" t="n">
        <v>200</v>
      </c>
      <c r="F27" s="13" t="n">
        <v>0.7</v>
      </c>
    </row>
    <row r="28">
      <c r="A28" s="12" t="inlineStr">
        <is>
          <t>PR-101</t>
        </is>
      </c>
      <c r="B28" s="12" t="inlineStr">
        <is>
          <t>유압프레스1</t>
        </is>
      </c>
      <c r="C28" s="12" t="inlineStr">
        <is>
          <t>프레스</t>
        </is>
      </c>
      <c r="D28" s="12" t="n">
        <v>186</v>
      </c>
      <c r="E28" s="12" t="n">
        <v>200</v>
      </c>
      <c r="F28" s="13" t="n">
        <v>0.93</v>
      </c>
    </row>
    <row r="29">
      <c r="A29" s="12" t="inlineStr">
        <is>
          <t>PR-102</t>
        </is>
      </c>
      <c r="B29" s="12" t="inlineStr">
        <is>
          <t>유압프레스2</t>
        </is>
      </c>
      <c r="C29" s="12" t="inlineStr">
        <is>
          <t>프레스</t>
        </is>
      </c>
      <c r="D29" s="12" t="n">
        <v>150</v>
      </c>
      <c r="E29" s="12" t="n">
        <v>200</v>
      </c>
      <c r="F29" s="13" t="n">
        <v>0.75</v>
      </c>
    </row>
    <row r="30">
      <c r="A30" s="12" t="inlineStr">
        <is>
          <t>WD-201</t>
        </is>
      </c>
      <c r="B30" s="12" t="inlineStr">
        <is>
          <t>스폿용접기</t>
        </is>
      </c>
      <c r="C30" s="12" t="inlineStr">
        <is>
          <t>용접</t>
        </is>
      </c>
      <c r="D30" s="12" t="n">
        <v>170</v>
      </c>
      <c r="E30" s="12" t="n">
        <v>200</v>
      </c>
      <c r="F30" s="13" t="n">
        <v>0.85</v>
      </c>
    </row>
    <row r="31">
      <c r="A31" s="12" t="inlineStr">
        <is>
          <t>WD-202</t>
        </is>
      </c>
      <c r="B31" s="12" t="inlineStr">
        <is>
          <t>아크용접기</t>
        </is>
      </c>
      <c r="C31" s="12" t="inlineStr">
        <is>
          <t>용접</t>
        </is>
      </c>
      <c r="D31" s="12" t="n">
        <v>140</v>
      </c>
      <c r="E31" s="12" t="n">
        <v>200</v>
      </c>
      <c r="F31" s="13" t="n">
        <v>0.7</v>
      </c>
    </row>
    <row r="32">
      <c r="A32" s="12" t="inlineStr">
        <is>
          <t>CN-301</t>
        </is>
      </c>
      <c r="B32" s="12" t="inlineStr">
        <is>
          <t>CNC선반</t>
        </is>
      </c>
      <c r="C32" s="12" t="inlineStr">
        <is>
          <t>가공</t>
        </is>
      </c>
      <c r="D32" s="12" t="n">
        <v>190</v>
      </c>
      <c r="E32" s="12" t="n">
        <v>200</v>
      </c>
      <c r="F32" s="13" t="n">
        <v>0.95</v>
      </c>
    </row>
    <row r="33">
      <c r="A33" s="12" t="inlineStr">
        <is>
          <t>CN-302</t>
        </is>
      </c>
      <c r="B33" s="12" t="inlineStr">
        <is>
          <t>머시닝센터</t>
        </is>
      </c>
      <c r="C33" s="12" t="inlineStr">
        <is>
          <t>가공</t>
        </is>
      </c>
      <c r="D33" s="12" t="n">
        <v>155</v>
      </c>
      <c r="E33" s="12" t="n">
        <v>200</v>
      </c>
      <c r="F33" s="13" t="n">
        <v>0.775</v>
      </c>
    </row>
    <row r="34">
      <c r="A34" s="12" t="inlineStr">
        <is>
          <t>RB-401</t>
        </is>
      </c>
      <c r="B34" s="12" t="inlineStr">
        <is>
          <t>조립로봇1</t>
        </is>
      </c>
      <c r="C34" s="12" t="inlineStr">
        <is>
          <t>조립</t>
        </is>
      </c>
      <c r="D34" s="12" t="n">
        <v>196</v>
      </c>
      <c r="E34" s="12" t="n">
        <v>200</v>
      </c>
      <c r="F34" s="13" t="n">
        <v>0.98</v>
      </c>
    </row>
    <row r="35">
      <c r="A35" s="12" t="inlineStr">
        <is>
          <t>RB-402</t>
        </is>
      </c>
      <c r="B35" s="12" t="inlineStr">
        <is>
          <t>조립로봇2</t>
        </is>
      </c>
      <c r="C35" s="12" t="inlineStr">
        <is>
          <t>조립</t>
        </is>
      </c>
      <c r="D35" s="12" t="n">
        <v>162</v>
      </c>
      <c r="E35" s="12" t="n">
        <v>200</v>
      </c>
      <c r="F35" s="13" t="n">
        <v>0.8100000000000001</v>
      </c>
    </row>
    <row r="36">
      <c r="A36" s="12" t="inlineStr">
        <is>
          <t>CV-501</t>
        </is>
      </c>
      <c r="B36" s="12" t="inlineStr">
        <is>
          <t>컨베이어</t>
        </is>
      </c>
      <c r="C36" s="12" t="inlineStr">
        <is>
          <t>이송</t>
        </is>
      </c>
      <c r="D36" s="12" t="n">
        <v>200</v>
      </c>
      <c r="E36" s="12" t="n">
        <v>200</v>
      </c>
      <c r="F36" s="13" t="n">
        <v>1</v>
      </c>
    </row>
    <row r="37">
      <c r="A37" s="12" t="inlineStr">
        <is>
          <t>AC-601</t>
        </is>
      </c>
      <c r="B37" s="12" t="inlineStr">
        <is>
          <t>공기압축기</t>
        </is>
      </c>
      <c r="C37" s="12" t="inlineStr">
        <is>
          <t>유틸</t>
        </is>
      </c>
      <c r="D37" s="12" t="n">
        <v>120</v>
      </c>
      <c r="E37" s="12" t="n">
        <v>200</v>
      </c>
      <c r="F37" s="13" t="n">
        <v>0.6</v>
      </c>
    </row>
    <row r="38">
      <c r="A38" s="12" t="inlineStr">
        <is>
          <t>PR-103</t>
        </is>
      </c>
      <c r="B38" s="12" t="inlineStr">
        <is>
          <t>단동프레스</t>
        </is>
      </c>
      <c r="C38" s="12" t="inlineStr">
        <is>
          <t>프레스</t>
        </is>
      </c>
      <c r="D38" s="12" t="n">
        <v>178</v>
      </c>
      <c r="E38" s="12" t="n">
        <v>200</v>
      </c>
      <c r="F38" s="13" t="n">
        <v>0.89</v>
      </c>
    </row>
    <row r="39">
      <c r="A39" s="12" t="inlineStr">
        <is>
          <t>CN-303</t>
        </is>
      </c>
      <c r="B39" s="12" t="inlineStr">
        <is>
          <t>밀링</t>
        </is>
      </c>
      <c r="C39" s="12" t="inlineStr">
        <is>
          <t>가공</t>
        </is>
      </c>
      <c r="D39" s="12" t="n">
        <v>140</v>
      </c>
      <c r="E39" s="12" t="n">
        <v>200</v>
      </c>
      <c r="F39" s="13" t="n">
        <v>0.7</v>
      </c>
    </row>
    <row r="40">
      <c r="A40" s="12" t="inlineStr">
        <is>
          <t>PR-101</t>
        </is>
      </c>
      <c r="B40" s="12" t="inlineStr">
        <is>
          <t>유압프레스1</t>
        </is>
      </c>
      <c r="C40" s="12" t="inlineStr">
        <is>
          <t>프레스</t>
        </is>
      </c>
      <c r="D40" s="12" t="n">
        <v>186</v>
      </c>
      <c r="E40" s="12" t="n">
        <v>200</v>
      </c>
      <c r="F40" s="13" t="n">
        <v>0.93</v>
      </c>
    </row>
    <row r="41">
      <c r="A41" s="12" t="inlineStr">
        <is>
          <t>PR-102</t>
        </is>
      </c>
      <c r="B41" s="12" t="inlineStr">
        <is>
          <t>유압프레스2</t>
        </is>
      </c>
      <c r="C41" s="12" t="inlineStr">
        <is>
          <t>프레스</t>
        </is>
      </c>
      <c r="D41" s="12" t="n">
        <v>150</v>
      </c>
      <c r="E41" s="12" t="n">
        <v>200</v>
      </c>
      <c r="F41" s="13" t="n">
        <v>0.75</v>
      </c>
    </row>
    <row r="42">
      <c r="A42" s="12" t="inlineStr">
        <is>
          <t>WD-201</t>
        </is>
      </c>
      <c r="B42" s="12" t="inlineStr">
        <is>
          <t>스폿용접기</t>
        </is>
      </c>
      <c r="C42" s="12" t="inlineStr">
        <is>
          <t>용접</t>
        </is>
      </c>
      <c r="D42" s="12" t="n">
        <v>170</v>
      </c>
      <c r="E42" s="12" t="n">
        <v>200</v>
      </c>
      <c r="F42" s="13" t="n">
        <v>0.85</v>
      </c>
    </row>
    <row r="43">
      <c r="A43" s="12" t="inlineStr">
        <is>
          <t>WD-202</t>
        </is>
      </c>
      <c r="B43" s="12" t="inlineStr">
        <is>
          <t>아크용접기</t>
        </is>
      </c>
      <c r="C43" s="12" t="inlineStr">
        <is>
          <t>용접</t>
        </is>
      </c>
      <c r="D43" s="12" t="n">
        <v>140</v>
      </c>
      <c r="E43" s="12" t="n">
        <v>200</v>
      </c>
      <c r="F43" s="13" t="n">
        <v>0.7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hidden="1" width="13" customWidth="1" min="27" max="27"/>
    <col hidden="1" width="13" customWidth="1" min="28" max="28"/>
  </cols>
  <sheetData>
    <row r="1">
      <c r="A1" s="15" t="inlineStr">
        <is>
          <t>[표1] 구분별 평균 가동시간</t>
        </is>
      </c>
    </row>
    <row r="2">
      <c r="A2" s="11" t="inlineStr">
        <is>
          <t>구분</t>
        </is>
      </c>
      <c r="B2" s="11" t="inlineStr">
        <is>
          <t>라인</t>
        </is>
      </c>
      <c r="C2" s="11" t="inlineStr">
        <is>
          <t>가동시간</t>
        </is>
      </c>
      <c r="D2" s="11" t="inlineStr"/>
      <c r="E2" s="11" t="inlineStr">
        <is>
          <t>구분</t>
        </is>
      </c>
      <c r="F2" s="11" t="inlineStr">
        <is>
          <t>라인</t>
        </is>
      </c>
      <c r="G2" s="11" t="inlineStr">
        <is>
          <t>평균</t>
        </is>
      </c>
    </row>
    <row r="3">
      <c r="A3" s="12" t="inlineStr">
        <is>
          <t>프레스</t>
        </is>
      </c>
      <c r="B3" s="12" t="inlineStr">
        <is>
          <t>1</t>
        </is>
      </c>
      <c r="C3" s="12" t="n">
        <v>186</v>
      </c>
      <c r="D3" s="16" t="n"/>
      <c r="E3" s="12" t="inlineStr">
        <is>
          <t>프레스</t>
        </is>
      </c>
      <c r="F3" s="12" t="inlineStr">
        <is>
          <t>1</t>
        </is>
      </c>
      <c r="G3" s="17" t="n">
        <v>0</v>
      </c>
      <c r="AA3">
        <f>ROUNDUP(AVERAGEIFS($C$3:$C$10,$A$3:$A$10,E3,$B$3:$B$10,F3),0)</f>
        <v/>
      </c>
      <c r="AB3">
        <f>AND(_xlfn.ISFORMULA(G3),IFERROR(ROUND(G3,4)=ROUND(AA3,4),EXACT(G3,AA3)))</f>
        <v/>
      </c>
    </row>
    <row r="4">
      <c r="A4" s="12" t="inlineStr">
        <is>
          <t>용접</t>
        </is>
      </c>
      <c r="B4" s="12" t="inlineStr">
        <is>
          <t>1</t>
        </is>
      </c>
      <c r="C4" s="12" t="n">
        <v>170</v>
      </c>
      <c r="D4" s="16" t="n"/>
      <c r="E4" s="12" t="inlineStr">
        <is>
          <t>프레스</t>
        </is>
      </c>
      <c r="F4" s="12" t="inlineStr">
        <is>
          <t>2</t>
        </is>
      </c>
      <c r="G4" s="17" t="n">
        <v>0</v>
      </c>
      <c r="AA4">
        <f>ROUNDUP(AVERAGEIFS($C$3:$C$10,$A$3:$A$10,E4,$B$3:$B$10,F4),0)</f>
        <v/>
      </c>
      <c r="AB4">
        <f>AND(_xlfn.ISFORMULA(G4),IFERROR(ROUND(G4,4)=ROUND(AA4,4),EXACT(G4,AA4)))</f>
        <v/>
      </c>
    </row>
    <row r="5">
      <c r="A5" s="12" t="inlineStr">
        <is>
          <t>프레스</t>
        </is>
      </c>
      <c r="B5" s="12" t="inlineStr">
        <is>
          <t>2</t>
        </is>
      </c>
      <c r="C5" s="12" t="n">
        <v>150</v>
      </c>
      <c r="D5" s="16" t="n"/>
      <c r="E5" s="12" t="inlineStr">
        <is>
          <t>가공</t>
        </is>
      </c>
      <c r="F5" s="12" t="inlineStr">
        <is>
          <t>1</t>
        </is>
      </c>
      <c r="G5" s="17" t="n">
        <v>0</v>
      </c>
      <c r="AA5">
        <f>ROUNDUP(AVERAGEIFS($C$3:$C$10,$A$3:$A$10,E5,$B$3:$B$10,F5),0)</f>
        <v/>
      </c>
      <c r="AB5">
        <f>AND(_xlfn.ISFORMULA(G5),IFERROR(ROUND(G5,4)=ROUND(AA5,4),EXACT(G5,AA5)))</f>
        <v/>
      </c>
    </row>
    <row r="6">
      <c r="A6" s="12" t="inlineStr">
        <is>
          <t>가공</t>
        </is>
      </c>
      <c r="B6" s="12" t="inlineStr">
        <is>
          <t>1</t>
        </is>
      </c>
      <c r="C6" s="12" t="n">
        <v>190</v>
      </c>
      <c r="D6" s="16" t="n"/>
      <c r="E6" s="16" t="n"/>
      <c r="F6" s="16" t="n"/>
      <c r="G6" s="16" t="n"/>
    </row>
    <row r="7">
      <c r="A7" s="12" t="inlineStr">
        <is>
          <t>프레스</t>
        </is>
      </c>
      <c r="B7" s="12" t="inlineStr">
        <is>
          <t>1</t>
        </is>
      </c>
      <c r="C7" s="12" t="n">
        <v>178</v>
      </c>
      <c r="D7" s="16" t="n"/>
      <c r="E7" s="16" t="n"/>
      <c r="F7" s="16" t="n"/>
      <c r="G7" s="16" t="n"/>
    </row>
    <row r="8">
      <c r="A8" s="12" t="inlineStr">
        <is>
          <t>가공</t>
        </is>
      </c>
      <c r="B8" s="12" t="inlineStr">
        <is>
          <t>1</t>
        </is>
      </c>
      <c r="C8" s="12" t="n">
        <v>155</v>
      </c>
      <c r="D8" s="16" t="n"/>
      <c r="E8" s="16" t="n"/>
      <c r="F8" s="16" t="n"/>
      <c r="G8" s="16" t="n"/>
    </row>
    <row r="9">
      <c r="A9" s="12" t="inlineStr">
        <is>
          <t>용접</t>
        </is>
      </c>
      <c r="B9" s="12" t="inlineStr">
        <is>
          <t>2</t>
        </is>
      </c>
      <c r="C9" s="12" t="n">
        <v>140</v>
      </c>
      <c r="D9" s="16" t="n"/>
      <c r="E9" s="16" t="n"/>
      <c r="F9" s="16" t="n"/>
      <c r="G9" s="16" t="n"/>
    </row>
    <row r="10">
      <c r="A10" s="12" t="inlineStr">
        <is>
          <t>프레스</t>
        </is>
      </c>
      <c r="B10" s="12" t="inlineStr">
        <is>
          <t>2</t>
        </is>
      </c>
      <c r="C10" s="12" t="n">
        <v>161</v>
      </c>
      <c r="D10" s="16" t="n"/>
      <c r="E10" s="16" t="n"/>
      <c r="F10" s="16" t="n"/>
      <c r="G10" s="16" t="n"/>
    </row>
    <row r="13">
      <c r="A13" s="15" t="inlineStr">
        <is>
          <t>[표2] 구분별 목표 달성 설비 수</t>
        </is>
      </c>
    </row>
    <row r="14">
      <c r="A14" s="11" t="inlineStr">
        <is>
          <t>구분</t>
        </is>
      </c>
      <c r="B14" s="11" t="inlineStr">
        <is>
          <t>설비</t>
        </is>
      </c>
      <c r="C14" s="11" t="inlineStr">
        <is>
          <t>가동률</t>
        </is>
      </c>
      <c r="D14" s="11" t="inlineStr"/>
      <c r="E14" s="11" t="inlineStr">
        <is>
          <t>구분</t>
        </is>
      </c>
      <c r="F14" s="11" t="inlineStr">
        <is>
          <t>90% 이상</t>
        </is>
      </c>
    </row>
    <row r="15">
      <c r="A15" s="12" t="inlineStr">
        <is>
          <t>프레스</t>
        </is>
      </c>
      <c r="B15" s="12" t="inlineStr">
        <is>
          <t>PR1</t>
        </is>
      </c>
      <c r="C15" s="18" t="n">
        <v>0.93</v>
      </c>
      <c r="D15" s="16" t="n"/>
      <c r="E15" s="12" t="inlineStr">
        <is>
          <t>프레스</t>
        </is>
      </c>
      <c r="F15" s="17" t="n">
        <v>0</v>
      </c>
      <c r="AA15">
        <f t="array" ref="AA15">SUM(($A$15:$A$22=E15)*($C$15:$C$22&gt;=0.9))</f>
        <v/>
      </c>
      <c r="AB15">
        <f>AND(_xlfn.ISFORMULA(F15),IFERROR(ROUND(F15,4)=ROUND(AA15,4),EXACT(F15,AA15)))</f>
        <v/>
      </c>
    </row>
    <row r="16">
      <c r="A16" s="12" t="inlineStr">
        <is>
          <t>용접</t>
        </is>
      </c>
      <c r="B16" s="12" t="inlineStr">
        <is>
          <t>WD1</t>
        </is>
      </c>
      <c r="C16" s="18" t="n">
        <v>0.85</v>
      </c>
      <c r="D16" s="16" t="n"/>
      <c r="E16" s="12" t="inlineStr">
        <is>
          <t>용접</t>
        </is>
      </c>
      <c r="F16" s="17" t="n">
        <v>0</v>
      </c>
      <c r="AA16">
        <f t="array" ref="AA16">SUM(($A$15:$A$22=E16)*($C$15:$C$22&gt;=0.9))</f>
        <v/>
      </c>
      <c r="AB16">
        <f>AND(_xlfn.ISFORMULA(F16),IFERROR(ROUND(F16,4)=ROUND(AA16,4),EXACT(F16,AA16)))</f>
        <v/>
      </c>
    </row>
    <row r="17">
      <c r="A17" s="12" t="inlineStr">
        <is>
          <t>프레스</t>
        </is>
      </c>
      <c r="B17" s="12" t="inlineStr">
        <is>
          <t>PR2</t>
        </is>
      </c>
      <c r="C17" s="18" t="n">
        <v>0.9</v>
      </c>
      <c r="D17" s="16" t="n"/>
      <c r="E17" s="12" t="inlineStr">
        <is>
          <t>가공</t>
        </is>
      </c>
      <c r="F17" s="17" t="n">
        <v>0</v>
      </c>
      <c r="AA17">
        <f t="array" ref="AA17">SUM(($A$15:$A$22=E17)*($C$15:$C$22&gt;=0.9))</f>
        <v/>
      </c>
      <c r="AB17">
        <f>AND(_xlfn.ISFORMULA(F17),IFERROR(ROUND(F17,4)=ROUND(AA17,4),EXACT(F17,AA17)))</f>
        <v/>
      </c>
    </row>
    <row r="18">
      <c r="A18" s="12" t="inlineStr">
        <is>
          <t>가공</t>
        </is>
      </c>
      <c r="B18" s="12" t="inlineStr">
        <is>
          <t>CN1</t>
        </is>
      </c>
      <c r="C18" s="18" t="n">
        <v>0.95</v>
      </c>
      <c r="D18" s="16" t="n"/>
      <c r="E18" s="16" t="n"/>
      <c r="F18" s="16" t="n"/>
    </row>
    <row r="19">
      <c r="A19" s="12" t="inlineStr">
        <is>
          <t>가공</t>
        </is>
      </c>
      <c r="B19" s="12" t="inlineStr">
        <is>
          <t>CN2</t>
        </is>
      </c>
      <c r="C19" s="18" t="n">
        <v>0.78</v>
      </c>
      <c r="D19" s="16" t="n"/>
      <c r="E19" s="16" t="n"/>
      <c r="F19" s="16" t="n"/>
    </row>
    <row r="20">
      <c r="A20" s="12" t="inlineStr">
        <is>
          <t>용접</t>
        </is>
      </c>
      <c r="B20" s="12" t="inlineStr">
        <is>
          <t>WD2</t>
        </is>
      </c>
      <c r="C20" s="18" t="n">
        <v>0.91</v>
      </c>
      <c r="D20" s="16" t="n"/>
      <c r="E20" s="16" t="n"/>
      <c r="F20" s="16" t="n"/>
    </row>
    <row r="21">
      <c r="A21" s="12" t="inlineStr">
        <is>
          <t>프레스</t>
        </is>
      </c>
      <c r="B21" s="12" t="inlineStr">
        <is>
          <t>PR3</t>
        </is>
      </c>
      <c r="C21" s="18" t="n">
        <v>0.89</v>
      </c>
      <c r="D21" s="16" t="n"/>
      <c r="E21" s="16" t="n"/>
      <c r="F21" s="16" t="n"/>
    </row>
    <row r="22">
      <c r="A22" s="12" t="inlineStr">
        <is>
          <t>가공</t>
        </is>
      </c>
      <c r="B22" s="12" t="inlineStr">
        <is>
          <t>CN3</t>
        </is>
      </c>
      <c r="C22" s="18" t="n">
        <v>0.97</v>
      </c>
      <c r="D22" s="16" t="n"/>
      <c r="E22" s="16" t="n"/>
      <c r="F22" s="16" t="n"/>
    </row>
    <row r="25">
      <c r="A25" s="15" t="inlineStr">
        <is>
          <t>[표3] 가동률 등급</t>
        </is>
      </c>
    </row>
    <row r="26">
      <c r="A26" s="11" t="inlineStr">
        <is>
          <t>설비</t>
        </is>
      </c>
      <c r="B26" s="11" t="inlineStr">
        <is>
          <t>가동률</t>
        </is>
      </c>
      <c r="C26" s="11" t="inlineStr">
        <is>
          <t>등급</t>
        </is>
      </c>
      <c r="D26" s="11" t="inlineStr"/>
      <c r="E26" s="11" t="inlineStr">
        <is>
          <t>가동률</t>
        </is>
      </c>
      <c r="F26" s="11" t="n">
        <v>0</v>
      </c>
      <c r="G26" s="11" t="n">
        <v>0.7</v>
      </c>
      <c r="H26" s="11" t="n">
        <v>0.8</v>
      </c>
      <c r="I26" s="11" t="n">
        <v>0.9</v>
      </c>
    </row>
    <row r="27">
      <c r="A27" s="12" t="inlineStr">
        <is>
          <t>PR1</t>
        </is>
      </c>
      <c r="B27" s="18" t="n">
        <v>0.93</v>
      </c>
      <c r="C27" s="17" t="n">
        <v>0</v>
      </c>
      <c r="D27" s="16" t="n"/>
      <c r="E27" s="12" t="inlineStr">
        <is>
          <t>등급</t>
        </is>
      </c>
      <c r="F27" s="12" t="inlineStr">
        <is>
          <t>D</t>
        </is>
      </c>
      <c r="G27" s="12" t="inlineStr">
        <is>
          <t>C</t>
        </is>
      </c>
      <c r="H27" s="12" t="inlineStr">
        <is>
          <t>B</t>
        </is>
      </c>
      <c r="I27" s="12" t="inlineStr">
        <is>
          <t>A</t>
        </is>
      </c>
      <c r="AA27">
        <f>HLOOKUP(B27,$F$26:$I$27,2,TRUE)</f>
        <v/>
      </c>
      <c r="AB27">
        <f>AND(_xlfn.ISFORMULA(C27),IFERROR(ROUND(C27,4)=ROUND(AA27,4),EXACT(C27,AA27)))</f>
        <v/>
      </c>
    </row>
    <row r="28">
      <c r="A28" s="12" t="inlineStr">
        <is>
          <t>PR2</t>
        </is>
      </c>
      <c r="B28" s="18" t="n">
        <v>0.7</v>
      </c>
      <c r="C28" s="17" t="n">
        <v>0</v>
      </c>
      <c r="D28" s="16" t="n"/>
      <c r="E28" s="16" t="n"/>
      <c r="F28" s="16" t="n"/>
      <c r="G28" s="16" t="n"/>
      <c r="H28" s="16" t="n"/>
      <c r="I28" s="16" t="n"/>
      <c r="AA28">
        <f>HLOOKUP(B28,$F$26:$I$27,2,TRUE)</f>
        <v/>
      </c>
      <c r="AB28">
        <f>AND(_xlfn.ISFORMULA(C28),IFERROR(ROUND(C28,4)=ROUND(AA28,4),EXACT(C28,AA28)))</f>
        <v/>
      </c>
    </row>
    <row r="29">
      <c r="A29" s="12" t="inlineStr">
        <is>
          <t>WD1</t>
        </is>
      </c>
      <c r="B29" s="18" t="n">
        <v>0.6899999999999999</v>
      </c>
      <c r="C29" s="17" t="n">
        <v>0</v>
      </c>
      <c r="D29" s="16" t="n"/>
      <c r="E29" s="16" t="n"/>
      <c r="F29" s="16" t="n"/>
      <c r="G29" s="16" t="n"/>
      <c r="H29" s="16" t="n"/>
      <c r="I29" s="16" t="n"/>
      <c r="AA29">
        <f>HLOOKUP(B29,$F$26:$I$27,2,TRUE)</f>
        <v/>
      </c>
      <c r="AB29">
        <f>AND(_xlfn.ISFORMULA(C29),IFERROR(ROUND(C29,4)=ROUND(AA29,4),EXACT(C29,AA29)))</f>
        <v/>
      </c>
    </row>
    <row r="30">
      <c r="A30" s="12" t="inlineStr">
        <is>
          <t>CN1</t>
        </is>
      </c>
      <c r="B30" s="18" t="n">
        <v>0.8</v>
      </c>
      <c r="C30" s="17" t="n">
        <v>0</v>
      </c>
      <c r="D30" s="16" t="n"/>
      <c r="E30" s="16" t="n"/>
      <c r="F30" s="16" t="n"/>
      <c r="G30" s="16" t="n"/>
      <c r="H30" s="16" t="n"/>
      <c r="I30" s="16" t="n"/>
      <c r="AA30">
        <f>HLOOKUP(B30,$F$26:$I$27,2,TRUE)</f>
        <v/>
      </c>
      <c r="AB30">
        <f>AND(_xlfn.ISFORMULA(C30),IFERROR(ROUND(C30,4)=ROUND(AA30,4),EXACT(C30,AA30)))</f>
        <v/>
      </c>
    </row>
    <row r="31">
      <c r="A31" s="12" t="inlineStr">
        <is>
          <t>CN2</t>
        </is>
      </c>
      <c r="B31" s="18" t="n">
        <v>0.99</v>
      </c>
      <c r="C31" s="17" t="n">
        <v>0</v>
      </c>
      <c r="D31" s="16" t="n"/>
      <c r="E31" s="16" t="n"/>
      <c r="F31" s="16" t="n"/>
      <c r="G31" s="16" t="n"/>
      <c r="H31" s="16" t="n"/>
      <c r="I31" s="16" t="n"/>
      <c r="AA31">
        <f>HLOOKUP(B31,$F$26:$I$27,2,TRUE)</f>
        <v/>
      </c>
      <c r="AB31">
        <f>AND(_xlfn.ISFORMULA(C31),IFERROR(ROUND(C31,4)=ROUND(AA31,4),EXACT(C31,AA31)))</f>
        <v/>
      </c>
    </row>
    <row r="32">
      <c r="A32" s="12" t="inlineStr">
        <is>
          <t>AC1</t>
        </is>
      </c>
      <c r="B32" s="18" t="n">
        <v>0.45</v>
      </c>
      <c r="C32" s="17" t="n">
        <v>0</v>
      </c>
      <c r="D32" s="16" t="n"/>
      <c r="E32" s="16" t="n"/>
      <c r="F32" s="16" t="n"/>
      <c r="G32" s="16" t="n"/>
      <c r="H32" s="16" t="n"/>
      <c r="I32" s="16" t="n"/>
      <c r="AA32">
        <f>HLOOKUP(B32,$F$26:$I$27,2,TRUE)</f>
        <v/>
      </c>
      <c r="AB32">
        <f>AND(_xlfn.ISFORMULA(C32),IFERROR(ROUND(C32,4)=ROUND(AA32,4),EXACT(C32,AA32)))</f>
        <v/>
      </c>
    </row>
    <row r="35">
      <c r="A35" s="15" t="inlineStr">
        <is>
          <t>[표4] 설비 코드 줄여 쓰기</t>
        </is>
      </c>
    </row>
    <row r="36">
      <c r="A36" s="11" t="inlineStr">
        <is>
          <t>설비코드</t>
        </is>
      </c>
      <c r="B36" s="11" t="inlineStr">
        <is>
          <t>도입연도</t>
        </is>
      </c>
      <c r="C36" s="11" t="inlineStr">
        <is>
          <t>표시코드</t>
        </is>
      </c>
    </row>
    <row r="37">
      <c r="A37" s="12" t="inlineStr">
        <is>
          <t>pr2019007</t>
        </is>
      </c>
      <c r="B37" s="12" t="n">
        <v>2019</v>
      </c>
      <c r="C37" s="17" t="n">
        <v>0</v>
      </c>
      <c r="AA37">
        <f>UPPER(LEFT(A37,2))&amp;"-"&amp;RIGHT(A37,3)</f>
        <v/>
      </c>
      <c r="AB37">
        <f>AND(_xlfn.ISFORMULA(C37),IFERROR(ROUND(C37,4)=ROUND(AA37,4),EXACT(C37,AA37)))</f>
        <v/>
      </c>
    </row>
    <row r="38">
      <c r="A38" s="12" t="inlineStr">
        <is>
          <t>wd2021113</t>
        </is>
      </c>
      <c r="B38" s="12" t="n">
        <v>2021</v>
      </c>
      <c r="C38" s="17" t="n">
        <v>0</v>
      </c>
      <c r="AA38">
        <f>UPPER(LEFT(A38,2))&amp;"-"&amp;RIGHT(A38,3)</f>
        <v/>
      </c>
      <c r="AB38">
        <f>AND(_xlfn.ISFORMULA(C38),IFERROR(ROUND(C38,4)=ROUND(AA38,4),EXACT(C38,AA38)))</f>
        <v/>
      </c>
    </row>
    <row r="39">
      <c r="A39" s="12" t="inlineStr">
        <is>
          <t>cn2018042</t>
        </is>
      </c>
      <c r="B39" s="12" t="n">
        <v>2018</v>
      </c>
      <c r="C39" s="17" t="n">
        <v>0</v>
      </c>
      <c r="AA39">
        <f>UPPER(LEFT(A39,2))&amp;"-"&amp;RIGHT(A39,3)</f>
        <v/>
      </c>
      <c r="AB39">
        <f>AND(_xlfn.ISFORMULA(C39),IFERROR(ROUND(C39,4)=ROUND(AA39,4),EXACT(C39,AA39)))</f>
        <v/>
      </c>
    </row>
    <row r="40">
      <c r="A40" s="12" t="inlineStr">
        <is>
          <t>rb2024009</t>
        </is>
      </c>
      <c r="B40" s="12" t="n">
        <v>2024</v>
      </c>
      <c r="C40" s="17" t="n">
        <v>0</v>
      </c>
      <c r="AA40">
        <f>UPPER(LEFT(A40,2))&amp;"-"&amp;RIGHT(A40,3)</f>
        <v/>
      </c>
      <c r="AB40">
        <f>AND(_xlfn.ISFORMULA(C40),IFERROR(ROUND(C40,4)=ROUND(AA40,4),EXACT(C40,AA40)))</f>
        <v/>
      </c>
    </row>
    <row r="41">
      <c r="A41" s="12" t="inlineStr">
        <is>
          <t>ac2012300</t>
        </is>
      </c>
      <c r="B41" s="12" t="n">
        <v>2012</v>
      </c>
      <c r="C41" s="17" t="n">
        <v>0</v>
      </c>
      <c r="AA41">
        <f>UPPER(LEFT(A41,2))&amp;"-"&amp;RIGHT(A41,3)</f>
        <v/>
      </c>
      <c r="AB41">
        <f>AND(_xlfn.ISFORMULA(C41),IFERROR(ROUND(C41,4)=ROUND(AA41,4),EXACT(C41,AA41)))</f>
        <v/>
      </c>
    </row>
    <row r="42">
      <c r="A42" s="12" t="inlineStr">
        <is>
          <t>cv2020051</t>
        </is>
      </c>
      <c r="B42" s="12" t="n">
        <v>2020</v>
      </c>
      <c r="C42" s="17" t="n">
        <v>0</v>
      </c>
      <c r="AA42">
        <f>UPPER(LEFT(A42,2))&amp;"-"&amp;RIGHT(A42,3)</f>
        <v/>
      </c>
      <c r="AB42">
        <f>AND(_xlfn.ISFORMULA(C42),IFERROR(ROUND(C42,4)=ROUND(AA42,4),EXACT(C42,AA42)))</f>
        <v/>
      </c>
    </row>
    <row r="45">
      <c r="A45" s="15" t="inlineStr">
        <is>
          <t>[표5] 점검 구분 (사용자 정의 함수)</t>
        </is>
      </c>
    </row>
    <row r="46">
      <c r="A46" s="11" t="inlineStr">
        <is>
          <t>설비</t>
        </is>
      </c>
      <c r="B46" s="11" t="inlineStr">
        <is>
          <t>월 가동시간</t>
        </is>
      </c>
      <c r="C46" s="11" t="inlineStr">
        <is>
          <t>점검</t>
        </is>
      </c>
    </row>
    <row r="47">
      <c r="A47" s="12" t="inlineStr">
        <is>
          <t>PR1</t>
        </is>
      </c>
      <c r="B47" s="12" t="n">
        <v>186</v>
      </c>
      <c r="C47" s="17" t="n">
        <v>0</v>
      </c>
      <c r="AA47">
        <f>IF(B47&gt;=180,"정밀점검",IF(B47&gt;=120,"일반점검","생략"))</f>
        <v/>
      </c>
      <c r="AB47">
        <f>AND(_xlfn.ISFORMULA(C47),IFERROR(ROUND(C47,4)=ROUND(AA47,4),EXACT(C47,AA47)))</f>
        <v/>
      </c>
    </row>
    <row r="48">
      <c r="A48" s="12" t="inlineStr">
        <is>
          <t>PR2</t>
        </is>
      </c>
      <c r="B48" s="12" t="n">
        <v>180</v>
      </c>
      <c r="C48" s="17" t="n">
        <v>0</v>
      </c>
      <c r="AA48">
        <f>IF(B48&gt;=180,"정밀점검",IF(B48&gt;=120,"일반점검","생략"))</f>
        <v/>
      </c>
      <c r="AB48">
        <f>AND(_xlfn.ISFORMULA(C48),IFERROR(ROUND(C48,4)=ROUND(AA48,4),EXACT(C48,AA48)))</f>
        <v/>
      </c>
    </row>
    <row r="49">
      <c r="A49" s="12" t="inlineStr">
        <is>
          <t>WD1</t>
        </is>
      </c>
      <c r="B49" s="12" t="n">
        <v>179</v>
      </c>
      <c r="C49" s="17" t="n">
        <v>0</v>
      </c>
      <c r="AA49">
        <f>IF(B49&gt;=180,"정밀점검",IF(B49&gt;=120,"일반점검","생략"))</f>
        <v/>
      </c>
      <c r="AB49">
        <f>AND(_xlfn.ISFORMULA(C49),IFERROR(ROUND(C49,4)=ROUND(AA49,4),EXACT(C49,AA49)))</f>
        <v/>
      </c>
    </row>
    <row r="50">
      <c r="A50" s="12" t="inlineStr">
        <is>
          <t>CN1</t>
        </is>
      </c>
      <c r="B50" s="12" t="n">
        <v>120</v>
      </c>
      <c r="C50" s="17" t="n">
        <v>0</v>
      </c>
      <c r="AA50">
        <f>IF(B50&gt;=180,"정밀점검",IF(B50&gt;=120,"일반점검","생략"))</f>
        <v/>
      </c>
      <c r="AB50">
        <f>AND(_xlfn.ISFORMULA(C50),IFERROR(ROUND(C50,4)=ROUND(AA50,4),EXACT(C50,AA50)))</f>
        <v/>
      </c>
    </row>
    <row r="51">
      <c r="A51" s="12" t="inlineStr">
        <is>
          <t>CN2</t>
        </is>
      </c>
      <c r="B51" s="12" t="n">
        <v>119</v>
      </c>
      <c r="C51" s="17" t="n">
        <v>0</v>
      </c>
      <c r="AA51">
        <f>IF(B51&gt;=180,"정밀점검",IF(B51&gt;=120,"일반점검","생략"))</f>
        <v/>
      </c>
      <c r="AB51">
        <f>AND(_xlfn.ISFORMULA(C51),IFERROR(ROUND(C51,4)=ROUND(AA51,4),EXACT(C51,AA51)))</f>
        <v/>
      </c>
    </row>
    <row r="52">
      <c r="A52" s="12" t="inlineStr">
        <is>
          <t>AC1</t>
        </is>
      </c>
      <c r="B52" s="12" t="n">
        <v>40</v>
      </c>
      <c r="C52" s="17" t="n">
        <v>0</v>
      </c>
      <c r="AA52">
        <f>IF(B52&gt;=180,"정밀점검",IF(B52&gt;=120,"일반점검","생략"))</f>
        <v/>
      </c>
      <c r="AB52">
        <f>AND(_xlfn.ISFORMULA(C52),IFERROR(ROUND(C52,4)=ROUND(AA52,4),EXACT(C52,AA52)))</f>
        <v/>
      </c>
    </row>
  </sheetData>
  <mergeCells count="5">
    <mergeCell ref="A25:I25"/>
    <mergeCell ref="A1:G1"/>
    <mergeCell ref="A13:F13"/>
    <mergeCell ref="A45:C45"/>
    <mergeCell ref="A35:C3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0" customWidth="1" min="7" max="7"/>
  </cols>
  <sheetData>
    <row r="1" ht="26" customHeight="1">
      <c r="A1" s="10" t="inlineStr">
        <is>
          <t>분석작업-1</t>
        </is>
      </c>
    </row>
    <row r="3">
      <c r="A3" s="11" t="inlineStr">
        <is>
          <t>설비코드</t>
        </is>
      </c>
      <c r="B3" s="11" t="inlineStr">
        <is>
          <t>설비명</t>
        </is>
      </c>
      <c r="C3" s="11" t="inlineStr">
        <is>
          <t>구분</t>
        </is>
      </c>
      <c r="D3" s="11" t="inlineStr">
        <is>
          <t>가동시간</t>
        </is>
      </c>
      <c r="E3" s="11" t="inlineStr">
        <is>
          <t>계획시간</t>
        </is>
      </c>
      <c r="F3" s="11" t="inlineStr">
        <is>
          <t>가동률</t>
        </is>
      </c>
    </row>
    <row r="4">
      <c r="A4" s="12" t="inlineStr">
        <is>
          <t>PR-101</t>
        </is>
      </c>
      <c r="B4" s="12" t="inlineStr">
        <is>
          <t>유압프레스1</t>
        </is>
      </c>
      <c r="C4" s="12" t="inlineStr">
        <is>
          <t>프레스</t>
        </is>
      </c>
      <c r="D4" s="12" t="n">
        <v>186</v>
      </c>
      <c r="E4" s="12" t="n">
        <v>200</v>
      </c>
      <c r="F4" s="13" t="n">
        <v>0.93</v>
      </c>
    </row>
    <row r="5">
      <c r="A5" s="12" t="inlineStr">
        <is>
          <t>PR-102</t>
        </is>
      </c>
      <c r="B5" s="12" t="inlineStr">
        <is>
          <t>유압프레스2</t>
        </is>
      </c>
      <c r="C5" s="12" t="inlineStr">
        <is>
          <t>프레스</t>
        </is>
      </c>
      <c r="D5" s="12" t="n">
        <v>150</v>
      </c>
      <c r="E5" s="12" t="n">
        <v>200</v>
      </c>
      <c r="F5" s="13" t="n">
        <v>0.75</v>
      </c>
    </row>
    <row r="6">
      <c r="A6" s="12" t="inlineStr">
        <is>
          <t>WD-201</t>
        </is>
      </c>
      <c r="B6" s="12" t="inlineStr">
        <is>
          <t>스폿용접기</t>
        </is>
      </c>
      <c r="C6" s="12" t="inlineStr">
        <is>
          <t>용접</t>
        </is>
      </c>
      <c r="D6" s="12" t="n">
        <v>170</v>
      </c>
      <c r="E6" s="12" t="n">
        <v>200</v>
      </c>
      <c r="F6" s="13" t="n">
        <v>0.85</v>
      </c>
    </row>
    <row r="7">
      <c r="A7" s="12" t="inlineStr">
        <is>
          <t>WD-202</t>
        </is>
      </c>
      <c r="B7" s="12" t="inlineStr">
        <is>
          <t>아크용접기</t>
        </is>
      </c>
      <c r="C7" s="12" t="inlineStr">
        <is>
          <t>용접</t>
        </is>
      </c>
      <c r="D7" s="12" t="n">
        <v>140</v>
      </c>
      <c r="E7" s="12" t="n">
        <v>200</v>
      </c>
      <c r="F7" s="13" t="n">
        <v>0.7</v>
      </c>
    </row>
    <row r="8">
      <c r="A8" s="12" t="inlineStr">
        <is>
          <t>CN-301</t>
        </is>
      </c>
      <c r="B8" s="12" t="inlineStr">
        <is>
          <t>CNC선반</t>
        </is>
      </c>
      <c r="C8" s="12" t="inlineStr">
        <is>
          <t>가공</t>
        </is>
      </c>
      <c r="D8" s="12" t="n">
        <v>190</v>
      </c>
      <c r="E8" s="12" t="n">
        <v>200</v>
      </c>
      <c r="F8" s="13" t="n">
        <v>0.95</v>
      </c>
    </row>
    <row r="9">
      <c r="A9" s="12" t="inlineStr">
        <is>
          <t>CN-302</t>
        </is>
      </c>
      <c r="B9" s="12" t="inlineStr">
        <is>
          <t>머시닝센터</t>
        </is>
      </c>
      <c r="C9" s="12" t="inlineStr">
        <is>
          <t>가공</t>
        </is>
      </c>
      <c r="D9" s="12" t="n">
        <v>155</v>
      </c>
      <c r="E9" s="12" t="n">
        <v>200</v>
      </c>
      <c r="F9" s="13" t="n">
        <v>0.775</v>
      </c>
    </row>
    <row r="10">
      <c r="A10" s="12" t="inlineStr">
        <is>
          <t>RB-401</t>
        </is>
      </c>
      <c r="B10" s="12" t="inlineStr">
        <is>
          <t>조립로봇1</t>
        </is>
      </c>
      <c r="C10" s="12" t="inlineStr">
        <is>
          <t>조립</t>
        </is>
      </c>
      <c r="D10" s="12" t="n">
        <v>196</v>
      </c>
      <c r="E10" s="12" t="n">
        <v>200</v>
      </c>
      <c r="F10" s="13" t="n">
        <v>0.98</v>
      </c>
    </row>
    <row r="11">
      <c r="A11" s="12" t="inlineStr">
        <is>
          <t>RB-402</t>
        </is>
      </c>
      <c r="B11" s="12" t="inlineStr">
        <is>
          <t>조립로봇2</t>
        </is>
      </c>
      <c r="C11" s="12" t="inlineStr">
        <is>
          <t>조립</t>
        </is>
      </c>
      <c r="D11" s="12" t="n">
        <v>162</v>
      </c>
      <c r="E11" s="12" t="n">
        <v>200</v>
      </c>
      <c r="F11" s="13" t="n">
        <v>0.8100000000000001</v>
      </c>
    </row>
    <row r="12">
      <c r="A12" s="12" t="inlineStr">
        <is>
          <t>CV-501</t>
        </is>
      </c>
      <c r="B12" s="12" t="inlineStr">
        <is>
          <t>컨베이어</t>
        </is>
      </c>
      <c r="C12" s="12" t="inlineStr">
        <is>
          <t>이송</t>
        </is>
      </c>
      <c r="D12" s="12" t="n">
        <v>200</v>
      </c>
      <c r="E12" s="12" t="n">
        <v>200</v>
      </c>
      <c r="F12" s="13" t="n">
        <v>1</v>
      </c>
    </row>
    <row r="13">
      <c r="A13" s="12" t="inlineStr">
        <is>
          <t>AC-601</t>
        </is>
      </c>
      <c r="B13" s="12" t="inlineStr">
        <is>
          <t>공기압축기</t>
        </is>
      </c>
      <c r="C13" s="12" t="inlineStr">
        <is>
          <t>유틸</t>
        </is>
      </c>
      <c r="D13" s="12" t="n">
        <v>120</v>
      </c>
      <c r="E13" s="12" t="n">
        <v>200</v>
      </c>
      <c r="F13" s="13" t="n">
        <v>0.6</v>
      </c>
    </row>
    <row r="14">
      <c r="A14" s="12" t="inlineStr">
        <is>
          <t>PR-103</t>
        </is>
      </c>
      <c r="B14" s="12" t="inlineStr">
        <is>
          <t>단동프레스</t>
        </is>
      </c>
      <c r="C14" s="12" t="inlineStr">
        <is>
          <t>프레스</t>
        </is>
      </c>
      <c r="D14" s="12" t="n">
        <v>178</v>
      </c>
      <c r="E14" s="12" t="n">
        <v>200</v>
      </c>
      <c r="F14" s="13" t="n">
        <v>0.89</v>
      </c>
    </row>
    <row r="15">
      <c r="A15" s="12" t="inlineStr">
        <is>
          <t>CN-303</t>
        </is>
      </c>
      <c r="B15" s="12" t="inlineStr">
        <is>
          <t>밀링</t>
        </is>
      </c>
      <c r="C15" s="12" t="inlineStr">
        <is>
          <t>가공</t>
        </is>
      </c>
      <c r="D15" s="12" t="n">
        <v>140</v>
      </c>
      <c r="E15" s="12" t="n">
        <v>200</v>
      </c>
      <c r="F15" s="13" t="n">
        <v>0.7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11" customWidth="1" min="5" max="5"/>
  </cols>
  <sheetData>
    <row r="1" ht="26" customHeight="1">
      <c r="A1" s="10" t="inlineStr">
        <is>
          <t>설비 점검 기록</t>
        </is>
      </c>
    </row>
    <row r="3">
      <c r="A3" s="11" t="inlineStr">
        <is>
          <t>설비코드</t>
        </is>
      </c>
      <c r="B3" s="11" t="inlineStr">
        <is>
          <t>점검일</t>
        </is>
      </c>
      <c r="C3" s="11" t="inlineStr">
        <is>
          <t>점검자</t>
        </is>
      </c>
      <c r="D3" s="11" t="inlineStr">
        <is>
          <t>구분</t>
        </is>
      </c>
      <c r="E3" s="11" t="inlineStr">
        <is>
          <t>비용</t>
        </is>
      </c>
    </row>
    <row r="4">
      <c r="A4" s="12" t="inlineStr">
        <is>
          <t>PR-101</t>
        </is>
      </c>
      <c r="B4" s="19" t="n">
        <v>46266</v>
      </c>
      <c r="C4" s="12" t="inlineStr">
        <is>
          <t>김도윤</t>
        </is>
      </c>
      <c r="D4" s="12" t="inlineStr">
        <is>
          <t>정기</t>
        </is>
      </c>
      <c r="E4" s="20" t="n">
        <v>120000</v>
      </c>
    </row>
    <row r="5">
      <c r="A5" s="12" t="inlineStr">
        <is>
          <t>WD-201</t>
        </is>
      </c>
      <c r="B5" s="19" t="n">
        <v>46266</v>
      </c>
      <c r="C5" s="12" t="inlineStr">
        <is>
          <t>이서연</t>
        </is>
      </c>
      <c r="D5" s="12" t="inlineStr">
        <is>
          <t>정기</t>
        </is>
      </c>
      <c r="E5" s="20" t="n">
        <v>80000</v>
      </c>
    </row>
    <row r="6">
      <c r="A6" s="12" t="inlineStr">
        <is>
          <t>PR-101</t>
        </is>
      </c>
      <c r="B6" s="19" t="n">
        <v>46266</v>
      </c>
      <c r="C6" s="12" t="inlineStr">
        <is>
          <t>김도윤</t>
        </is>
      </c>
      <c r="D6" s="12" t="inlineStr">
        <is>
          <t>정기</t>
        </is>
      </c>
      <c r="E6" s="20" t="n">
        <v>120000</v>
      </c>
    </row>
    <row r="7">
      <c r="A7" s="12" t="inlineStr">
        <is>
          <t>CN-301</t>
        </is>
      </c>
      <c r="B7" s="19" t="n">
        <v>46267</v>
      </c>
      <c r="C7" s="12" t="inlineStr">
        <is>
          <t>박지훈</t>
        </is>
      </c>
      <c r="D7" s="12" t="inlineStr">
        <is>
          <t>고장</t>
        </is>
      </c>
      <c r="E7" s="20" t="n">
        <v>240000</v>
      </c>
    </row>
    <row r="8">
      <c r="A8" s="12" t="inlineStr">
        <is>
          <t>RB-401</t>
        </is>
      </c>
      <c r="B8" s="19" t="n">
        <v>46268</v>
      </c>
      <c r="C8" s="12" t="inlineStr">
        <is>
          <t>최하은</t>
        </is>
      </c>
      <c r="D8" s="12" t="inlineStr">
        <is>
          <t>정기</t>
        </is>
      </c>
      <c r="E8" s="20" t="n">
        <v>60000</v>
      </c>
    </row>
    <row r="9">
      <c r="A9" s="12" t="inlineStr">
        <is>
          <t>WD-201</t>
        </is>
      </c>
      <c r="B9" s="19" t="n">
        <v>46266</v>
      </c>
      <c r="C9" s="12" t="inlineStr">
        <is>
          <t>정민재</t>
        </is>
      </c>
      <c r="D9" s="12" t="inlineStr">
        <is>
          <t>정기</t>
        </is>
      </c>
      <c r="E9" s="20" t="n">
        <v>80000</v>
      </c>
    </row>
    <row r="10">
      <c r="A10" s="12" t="inlineStr">
        <is>
          <t>CN-301</t>
        </is>
      </c>
      <c r="B10" s="19" t="n">
        <v>46274</v>
      </c>
      <c r="C10" s="12" t="inlineStr">
        <is>
          <t>박지훈</t>
        </is>
      </c>
      <c r="D10" s="12" t="inlineStr">
        <is>
          <t>정기</t>
        </is>
      </c>
      <c r="E10" s="20" t="n">
        <v>90000</v>
      </c>
    </row>
    <row r="11">
      <c r="A11" s="12" t="inlineStr">
        <is>
          <t>PR-102</t>
        </is>
      </c>
      <c r="B11" s="19" t="n">
        <v>46275</v>
      </c>
      <c r="C11" s="12" t="inlineStr">
        <is>
          <t>김도윤</t>
        </is>
      </c>
      <c r="D11" s="12" t="inlineStr">
        <is>
          <t>고장</t>
        </is>
      </c>
      <c r="E11" s="20" t="n">
        <v>210000</v>
      </c>
    </row>
    <row r="12">
      <c r="A12" s="12" t="inlineStr">
        <is>
          <t>RB-401</t>
        </is>
      </c>
      <c r="B12" s="19" t="n">
        <v>46268</v>
      </c>
      <c r="C12" s="12" t="inlineStr">
        <is>
          <t>최하은</t>
        </is>
      </c>
      <c r="D12" s="12" t="inlineStr">
        <is>
          <t>정기</t>
        </is>
      </c>
      <c r="E12" s="20" t="n">
        <v>60000</v>
      </c>
    </row>
    <row r="13">
      <c r="A13" s="12" t="inlineStr">
        <is>
          <t>CV-501</t>
        </is>
      </c>
      <c r="B13" s="19" t="n">
        <v>46276</v>
      </c>
      <c r="C13" s="12" t="inlineStr">
        <is>
          <t>한수아</t>
        </is>
      </c>
      <c r="D13" s="12" t="inlineStr">
        <is>
          <t>정기</t>
        </is>
      </c>
      <c r="E13" s="20" t="n">
        <v>30000</v>
      </c>
    </row>
    <row r="14">
      <c r="A14" s="12" t="inlineStr">
        <is>
          <t>PR-102</t>
        </is>
      </c>
      <c r="B14" s="19" t="n">
        <v>46277</v>
      </c>
      <c r="C14" s="12" t="inlineStr">
        <is>
          <t>오지성</t>
        </is>
      </c>
      <c r="D14" s="12" t="inlineStr">
        <is>
          <t>정기</t>
        </is>
      </c>
      <c r="E14" s="20" t="n">
        <v>45000</v>
      </c>
    </row>
    <row r="15">
      <c r="A15" s="12" t="inlineStr">
        <is>
          <t>CN-301</t>
        </is>
      </c>
      <c r="B15" s="19" t="n">
        <v>46267</v>
      </c>
      <c r="C15" s="12" t="inlineStr">
        <is>
          <t>박지훈</t>
        </is>
      </c>
      <c r="D15" s="12" t="inlineStr">
        <is>
          <t>고장</t>
        </is>
      </c>
      <c r="E15" s="20" t="n">
        <v>240000</v>
      </c>
    </row>
    <row r="16">
      <c r="A16" s="12" t="inlineStr">
        <is>
          <t>AC-601</t>
        </is>
      </c>
      <c r="B16" s="19" t="n">
        <v>46280</v>
      </c>
      <c r="C16" s="12" t="inlineStr">
        <is>
          <t>윤채원</t>
        </is>
      </c>
      <c r="D16" s="12" t="inlineStr">
        <is>
          <t>고장</t>
        </is>
      </c>
      <c r="E16" s="20" t="n">
        <v>150000</v>
      </c>
    </row>
    <row r="17">
      <c r="A17" s="12" t="inlineStr">
        <is>
          <t>WD-202</t>
        </is>
      </c>
      <c r="B17" s="19" t="n">
        <v>46281</v>
      </c>
      <c r="C17" s="12" t="inlineStr">
        <is>
          <t>이서연</t>
        </is>
      </c>
      <c r="D17" s="12" t="inlineStr">
        <is>
          <t>정기</t>
        </is>
      </c>
      <c r="E17" s="20" t="n">
        <v>70000</v>
      </c>
    </row>
    <row r="18">
      <c r="A18" s="12" t="inlineStr">
        <is>
          <t>PR-101</t>
        </is>
      </c>
      <c r="B18" s="19" t="n">
        <v>46282</v>
      </c>
      <c r="C18" s="12" t="inlineStr">
        <is>
          <t>김도윤</t>
        </is>
      </c>
      <c r="D18" s="12" t="inlineStr">
        <is>
          <t>정기</t>
        </is>
      </c>
      <c r="E18" s="20" t="n">
        <v>120000</v>
      </c>
    </row>
    <row r="19">
      <c r="A19" s="12" t="inlineStr">
        <is>
          <t>CV-501</t>
        </is>
      </c>
      <c r="B19" s="19" t="n">
        <v>46276</v>
      </c>
      <c r="C19" s="12" t="inlineStr">
        <is>
          <t>한수아</t>
        </is>
      </c>
      <c r="D19" s="12" t="inlineStr">
        <is>
          <t>정기</t>
        </is>
      </c>
      <c r="E19" s="20" t="n">
        <v>30000</v>
      </c>
    </row>
    <row r="20">
      <c r="A20" s="12" t="inlineStr">
        <is>
          <t>RB-402</t>
        </is>
      </c>
      <c r="B20" s="19" t="n">
        <v>46283</v>
      </c>
      <c r="C20" s="12" t="inlineStr">
        <is>
          <t>최하은</t>
        </is>
      </c>
      <c r="D20" s="12" t="inlineStr">
        <is>
          <t>고장</t>
        </is>
      </c>
      <c r="E20" s="20" t="n">
        <v>95000</v>
      </c>
    </row>
  </sheetData>
  <mergeCells count="1"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1" t="inlineStr">
        <is>
          <t>구분별 가동 현황</t>
        </is>
      </c>
    </row>
    <row r="3">
      <c r="A3" s="11" t="inlineStr">
        <is>
          <t>구분</t>
        </is>
      </c>
      <c r="B3" s="11" t="inlineStr">
        <is>
          <t>가동시간</t>
        </is>
      </c>
      <c r="C3" s="11" t="inlineStr">
        <is>
          <t>계획시간</t>
        </is>
      </c>
    </row>
    <row r="4">
      <c r="A4" s="12" t="inlineStr">
        <is>
          <t>프레스</t>
        </is>
      </c>
      <c r="B4" s="20" t="n">
        <v>514</v>
      </c>
      <c r="C4" s="20" t="n">
        <v>600</v>
      </c>
    </row>
    <row r="5">
      <c r="A5" s="12" t="inlineStr">
        <is>
          <t>용접</t>
        </is>
      </c>
      <c r="B5" s="20" t="n">
        <v>310</v>
      </c>
      <c r="C5" s="20" t="n">
        <v>400</v>
      </c>
    </row>
    <row r="6">
      <c r="A6" s="12" t="inlineStr">
        <is>
          <t>가공</t>
        </is>
      </c>
      <c r="B6" s="20" t="n">
        <v>485</v>
      </c>
      <c r="C6" s="20" t="n">
        <v>600</v>
      </c>
    </row>
    <row r="7">
      <c r="A7" s="12" t="inlineStr">
        <is>
          <t>조립</t>
        </is>
      </c>
      <c r="B7" s="20" t="n">
        <v>358</v>
      </c>
      <c r="C7" s="20" t="n">
        <v>400</v>
      </c>
    </row>
    <row r="8">
      <c r="A8" s="12" t="inlineStr">
        <is>
          <t>이송</t>
        </is>
      </c>
      <c r="B8" s="20" t="n">
        <v>200</v>
      </c>
      <c r="C8" s="20" t="n">
        <v>200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 ht="26" customHeight="1">
      <c r="A1" s="10" t="inlineStr">
        <is>
          <t>매크로</t>
        </is>
      </c>
    </row>
    <row r="3">
      <c r="A3" s="11" t="inlineStr">
        <is>
          <t>설비코드</t>
        </is>
      </c>
      <c r="B3" s="11" t="inlineStr">
        <is>
          <t>가동시간</t>
        </is>
      </c>
      <c r="C3" s="11" t="inlineStr">
        <is>
          <t>계획시간</t>
        </is>
      </c>
      <c r="D3" s="11" t="inlineStr">
        <is>
          <t>가동률</t>
        </is>
      </c>
    </row>
    <row r="4">
      <c r="A4" s="12" t="inlineStr">
        <is>
          <t>PR-101</t>
        </is>
      </c>
      <c r="B4" s="12" t="n">
        <v>186</v>
      </c>
      <c r="C4" s="12" t="n">
        <v>200</v>
      </c>
      <c r="D4" s="22" t="n"/>
    </row>
    <row r="5">
      <c r="A5" s="12" t="inlineStr">
        <is>
          <t>WD-201</t>
        </is>
      </c>
      <c r="B5" s="12" t="n">
        <v>170</v>
      </c>
      <c r="C5" s="12" t="n">
        <v>200</v>
      </c>
      <c r="D5" s="22" t="n"/>
    </row>
    <row r="6">
      <c r="A6" s="12" t="inlineStr">
        <is>
          <t>CN-301</t>
        </is>
      </c>
      <c r="B6" s="12" t="n">
        <v>190</v>
      </c>
      <c r="C6" s="12" t="n">
        <v>200</v>
      </c>
      <c r="D6" s="22" t="n"/>
    </row>
    <row r="7">
      <c r="A7" s="12" t="inlineStr">
        <is>
          <t>RB-401</t>
        </is>
      </c>
      <c r="B7" s="12" t="n">
        <v>196</v>
      </c>
      <c r="C7" s="12" t="n">
        <v>200</v>
      </c>
      <c r="D7" s="22" t="n"/>
    </row>
    <row r="8">
      <c r="A8" s="12" t="inlineStr">
        <is>
          <t>AC-601</t>
        </is>
      </c>
      <c r="B8" s="12" t="n">
        <v>120</v>
      </c>
      <c r="C8" s="12" t="n">
        <v>200</v>
      </c>
      <c r="D8" s="22" t="n"/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 ht="26" customHeight="1">
      <c r="A1" s="10" t="inlineStr">
        <is>
          <t>VBA 프로그래밍</t>
        </is>
      </c>
    </row>
    <row r="3">
      <c r="A3" s="11" t="inlineStr">
        <is>
          <t>설비코드</t>
        </is>
      </c>
      <c r="B3" s="11" t="inlineStr">
        <is>
          <t>점검일</t>
        </is>
      </c>
      <c r="C3" s="11" t="inlineStr">
        <is>
          <t>구분</t>
        </is>
      </c>
      <c r="D3" s="11" t="inlineStr">
        <is>
          <t>비용</t>
        </is>
      </c>
    </row>
    <row r="4">
      <c r="A4" s="12" t="inlineStr">
        <is>
          <t>PR-101</t>
        </is>
      </c>
      <c r="B4" s="19" t="n">
        <v>46266</v>
      </c>
      <c r="C4" s="12" t="inlineStr">
        <is>
          <t>정기</t>
        </is>
      </c>
      <c r="D4" s="12" t="n">
        <v>120000</v>
      </c>
    </row>
    <row r="5">
      <c r="A5" s="12" t="inlineStr">
        <is>
          <t>CN-301</t>
        </is>
      </c>
      <c r="B5" s="19" t="n">
        <v>46267</v>
      </c>
      <c r="C5" s="12" t="inlineStr">
        <is>
          <t>고장</t>
        </is>
      </c>
      <c r="D5" s="12" t="n">
        <v>240000</v>
      </c>
    </row>
  </sheetData>
  <mergeCells count="1"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C2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" customWidth="1" min="3" max="3"/>
    <col width="9" customWidth="1" min="4" max="4"/>
    <col width="9" customWidth="1" min="5" max="5"/>
    <col width="40" customWidth="1" min="6" max="6"/>
    <col width="8" customWidth="1" min="7" max="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26" customHeight="1">
      <c r="A1" s="10" t="inlineStr">
        <is>
          <t>채점표 — 1급 제3회 (자동 칸은 저절로, '스스로' 칸은 G열에 O / X)</t>
        </is>
      </c>
    </row>
    <row r="3" ht="24" customHeight="1">
      <c r="A3" s="23" t="inlineStr">
        <is>
          <t>작업</t>
        </is>
      </c>
      <c r="B3" s="23" t="inlineStr">
        <is>
          <t>문항</t>
        </is>
      </c>
      <c r="C3" s="23" t="inlineStr">
        <is>
          <t>배점</t>
        </is>
      </c>
      <c r="D3" s="23" t="inlineStr">
        <is>
          <t>방식</t>
        </is>
      </c>
      <c r="E3" s="23" t="inlineStr">
        <is>
          <t>점수</t>
        </is>
      </c>
      <c r="F3" s="23" t="inlineStr">
        <is>
          <t>확인 방법</t>
        </is>
      </c>
      <c r="G3" s="23" t="inlineStr">
        <is>
          <t>O / X</t>
        </is>
      </c>
    </row>
    <row r="4" ht="30" customHeight="1">
      <c r="A4" s="12" t="inlineStr">
        <is>
          <t>기본작업-1</t>
        </is>
      </c>
      <c r="B4" s="24" t="inlineStr">
        <is>
          <t>1. 고급 필터 (결과 6행)</t>
        </is>
      </c>
      <c r="C4" s="12" t="n">
        <v>5</v>
      </c>
      <c r="D4" s="12" t="inlineStr">
        <is>
          <t>자동</t>
        </is>
      </c>
      <c r="E4" s="25">
        <f>IF(AND(SUMPRODUCT(--('기본작업-1'!$A$21:$C$27&amp;""='채점표'!$AA$4:$AC$10&amp;""))=21,COUNTA('기본작업-1'!$A$28:$C$28)=0),5,0)</f>
        <v/>
      </c>
      <c r="F4" s="26" t="inlineStr">
        <is>
          <t>자동 — A21 부터 필드 이름 + 6행 정확히</t>
        </is>
      </c>
      <c r="AA4" t="inlineStr">
        <is>
          <t>설비코드</t>
        </is>
      </c>
      <c r="AB4" t="inlineStr">
        <is>
          <t>설비명</t>
        </is>
      </c>
      <c r="AC4" t="inlineStr">
        <is>
          <t>가동률</t>
        </is>
      </c>
    </row>
    <row r="5" ht="46" customHeight="1">
      <c r="A5" s="12" t="inlineStr">
        <is>
          <t>기본작업-1</t>
        </is>
      </c>
      <c r="B5" s="24" t="inlineStr">
        <is>
          <t>2. 조건부 서식 — CV-501 · RB-401 · CN-301 세 행 — 수식 =$F4&gt;=LARGE($F$4:$F$15,3)</t>
        </is>
      </c>
      <c r="C5" s="12" t="n">
        <v>5</v>
      </c>
      <c r="D5" s="12" t="inlineStr">
        <is>
          <t>스스로</t>
        </is>
      </c>
      <c r="E5" s="27">
        <f>IF(G5="O",C5,0)</f>
        <v/>
      </c>
      <c r="F5" s="26" t="inlineStr">
        <is>
          <t>[홈] → [조건부 서식] → [규칙 관리] 에서 수식 확인</t>
        </is>
      </c>
      <c r="G5" s="28" t="n"/>
      <c r="AA5" t="inlineStr">
        <is>
          <t>PR-101</t>
        </is>
      </c>
      <c r="AB5" t="inlineStr">
        <is>
          <t>유압프레스1</t>
        </is>
      </c>
      <c r="AC5" t="n">
        <v>0.93</v>
      </c>
    </row>
    <row r="6" ht="30" customHeight="1">
      <c r="A6" s="12" t="inlineStr">
        <is>
          <t>기본작업-2</t>
        </is>
      </c>
      <c r="B6" s="24" t="inlineStr">
        <is>
          <t>3. 페이지 레이아웃 — 문제 조건 모두</t>
        </is>
      </c>
      <c r="C6" s="12" t="n">
        <v>5</v>
      </c>
      <c r="D6" s="12" t="inlineStr">
        <is>
          <t>스스로</t>
        </is>
      </c>
      <c r="E6" s="27">
        <f>IF(G6="O",C6,0)</f>
        <v/>
      </c>
      <c r="F6" s="26" t="inlineStr">
        <is>
          <t>[페이지 레이아웃] → 인쇄 영역 A1:F20, 머리글 오른쪽 &amp;[날짜], [시트] 탭 '행/열 머리글' 체크, [보기] 페이지 나누기 미리 보기</t>
        </is>
      </c>
      <c r="G6" s="28" t="n"/>
      <c r="AA6" t="inlineStr">
        <is>
          <t>PR-102</t>
        </is>
      </c>
      <c r="AB6" t="inlineStr">
        <is>
          <t>유압프레스2</t>
        </is>
      </c>
      <c r="AC6" t="n">
        <v>0.75</v>
      </c>
    </row>
    <row r="7" ht="30" customHeight="1">
      <c r="A7" s="12" t="inlineStr">
        <is>
          <t>계산작업</t>
        </is>
      </c>
      <c r="B7" s="24" t="inlineStr">
        <is>
          <t>1. [표1] 구분별 평균 가동시간 [G3:G5]</t>
        </is>
      </c>
      <c r="C7" s="12" t="n">
        <v>6</v>
      </c>
      <c r="D7" s="12" t="inlineStr">
        <is>
          <t>자동</t>
        </is>
      </c>
      <c r="E7" s="25">
        <f>IF(COUNTIF('계산작업'!$AB$3:$AB$5,TRUE)=3,6,0)</f>
        <v/>
      </c>
      <c r="F7" s="26" t="inlineStr">
        <is>
          <t>자동 — 3칸 모두 맞아야 6점</t>
        </is>
      </c>
      <c r="AA7" t="inlineStr">
        <is>
          <t>WD-202</t>
        </is>
      </c>
      <c r="AB7" t="inlineStr">
        <is>
          <t>아크용접기</t>
        </is>
      </c>
      <c r="AC7" t="n">
        <v>0.7</v>
      </c>
    </row>
    <row r="8" ht="30" customHeight="1">
      <c r="A8" s="12" t="inlineStr">
        <is>
          <t>계산작업</t>
        </is>
      </c>
      <c r="B8" s="24" t="inlineStr">
        <is>
          <t>2. [표2] 구분별 목표 달성 설비 수 [F15:F17]</t>
        </is>
      </c>
      <c r="C8" s="12" t="n">
        <v>6</v>
      </c>
      <c r="D8" s="12" t="inlineStr">
        <is>
          <t>자동</t>
        </is>
      </c>
      <c r="E8" s="25">
        <f>IF(COUNTIF('계산작업'!$AB$15:$AB$17,TRUE)=3,6,0)</f>
        <v/>
      </c>
      <c r="F8" s="26" t="inlineStr">
        <is>
          <t>자동 — 3칸 모두 맞아야 6점</t>
        </is>
      </c>
      <c r="AA8" t="inlineStr">
        <is>
          <t>AC-601</t>
        </is>
      </c>
      <c r="AB8" t="inlineStr">
        <is>
          <t>공기압축기</t>
        </is>
      </c>
      <c r="AC8" t="n">
        <v>0.6</v>
      </c>
    </row>
    <row r="9" ht="30" customHeight="1">
      <c r="A9" s="12" t="inlineStr">
        <is>
          <t>계산작업</t>
        </is>
      </c>
      <c r="B9" s="24" t="inlineStr">
        <is>
          <t>3. [표3] 가동률 등급 [C27:C32]</t>
        </is>
      </c>
      <c r="C9" s="12" t="n">
        <v>6</v>
      </c>
      <c r="D9" s="12" t="inlineStr">
        <is>
          <t>자동</t>
        </is>
      </c>
      <c r="E9" s="25">
        <f>IF(COUNTIF('계산작업'!$AB$27:$AB$32,TRUE)=6,6,0)</f>
        <v/>
      </c>
      <c r="F9" s="26" t="inlineStr">
        <is>
          <t>자동 — 6칸 모두 맞아야 6점</t>
        </is>
      </c>
      <c r="AA9" t="inlineStr">
        <is>
          <t>PR-103</t>
        </is>
      </c>
      <c r="AB9" t="inlineStr">
        <is>
          <t>단동프레스</t>
        </is>
      </c>
      <c r="AC9" t="n">
        <v>0.89</v>
      </c>
    </row>
    <row r="10" ht="30" customHeight="1">
      <c r="A10" s="12" t="inlineStr">
        <is>
          <t>계산작업</t>
        </is>
      </c>
      <c r="B10" s="24" t="inlineStr">
        <is>
          <t>4. [표4] 설비 코드 줄여 쓰기 [C37:C42]</t>
        </is>
      </c>
      <c r="C10" s="12" t="n">
        <v>6</v>
      </c>
      <c r="D10" s="12" t="inlineStr">
        <is>
          <t>자동</t>
        </is>
      </c>
      <c r="E10" s="25">
        <f>IF(COUNTIF('계산작업'!$AB$37:$AB$42,TRUE)=6,6,0)</f>
        <v/>
      </c>
      <c r="F10" s="26" t="inlineStr">
        <is>
          <t>자동 — 6칸 모두 맞아야 6점</t>
        </is>
      </c>
      <c r="AA10" t="inlineStr">
        <is>
          <t>CN-303</t>
        </is>
      </c>
      <c r="AB10" t="inlineStr">
        <is>
          <t>밀링</t>
        </is>
      </c>
      <c r="AC10" t="n">
        <v>0.7</v>
      </c>
    </row>
    <row r="11" ht="30" customHeight="1">
      <c r="A11" s="12" t="inlineStr">
        <is>
          <t>계산작업</t>
        </is>
      </c>
      <c r="B11" s="24" t="inlineStr">
        <is>
          <t>5. [표5] 점검 구분 (사용자 정의 함수) [C47:C52]</t>
        </is>
      </c>
      <c r="C11" s="12" t="n">
        <v>6</v>
      </c>
      <c r="D11" s="12" t="inlineStr">
        <is>
          <t>자동</t>
        </is>
      </c>
      <c r="E11" s="25">
        <f>IF(COUNTIF('계산작업'!$AB$47:$AB$52,TRUE)=6,6,0)</f>
        <v/>
      </c>
      <c r="F11" s="26" t="inlineStr">
        <is>
          <t>자동 — 6칸 모두 맞아야 6점 (함수를 만든 뒤 =fn…() 로 계산한 결과로 채점)</t>
        </is>
      </c>
    </row>
    <row r="12" ht="30" customHeight="1">
      <c r="A12" s="12" t="inlineStr">
        <is>
          <t>분석작업-1</t>
        </is>
      </c>
      <c r="B12" s="24" t="inlineStr">
        <is>
          <t>피벗 1) I3 에서 시작, 행에 구분 6개</t>
        </is>
      </c>
      <c r="C12" s="12" t="n">
        <v>3</v>
      </c>
      <c r="D12" s="12" t="inlineStr">
        <is>
          <t>스스로</t>
        </is>
      </c>
      <c r="E12" s="27">
        <f>IF(G12="O",C12,0)</f>
        <v/>
      </c>
      <c r="F12" s="26" t="inlineStr">
        <is>
          <t>피벗 표를 보고 확인</t>
        </is>
      </c>
      <c r="G12" s="28" t="n"/>
      <c r="AA12" t="inlineStr">
        <is>
          <t>PR-101</t>
        </is>
      </c>
    </row>
    <row r="13" ht="30" customHeight="1">
      <c r="A13" s="12" t="inlineStr">
        <is>
          <t>분석작업-1</t>
        </is>
      </c>
      <c r="B13" s="24" t="inlineStr">
        <is>
          <t>피벗 2) 표시 형식: 가동시간 평균 소수 1자리 · 가동률 평균 %</t>
        </is>
      </c>
      <c r="C13" s="12" t="n">
        <v>3</v>
      </c>
      <c r="D13" s="12" t="inlineStr">
        <is>
          <t>스스로</t>
        </is>
      </c>
      <c r="E13" s="27">
        <f>IF(G13="O",C13,0)</f>
        <v/>
      </c>
      <c r="F13" s="26" t="inlineStr">
        <is>
          <t>피벗 표를 보고 확인</t>
        </is>
      </c>
      <c r="G13" s="28" t="n"/>
      <c r="AA13" t="inlineStr">
        <is>
          <t>WD-201</t>
        </is>
      </c>
    </row>
    <row r="14" ht="30" customHeight="1">
      <c r="A14" s="12" t="inlineStr">
        <is>
          <t>분석작업-1</t>
        </is>
      </c>
      <c r="B14" s="24" t="inlineStr">
        <is>
          <t>피벗 3) 맨 위가 '이송'(100.0%), 그다음 '조립'(89.5%) — 가동률 내림차순</t>
        </is>
      </c>
      <c r="C14" s="12" t="n">
        <v>4</v>
      </c>
      <c r="D14" s="12" t="inlineStr">
        <is>
          <t>스스로</t>
        </is>
      </c>
      <c r="E14" s="27">
        <f>IF(G14="O",C14,0)</f>
        <v/>
      </c>
      <c r="F14" s="26" t="inlineStr">
        <is>
          <t>피벗 표를 보고 확인</t>
        </is>
      </c>
      <c r="G14" s="28" t="n"/>
      <c r="AA14" t="inlineStr">
        <is>
          <t>CN-301</t>
        </is>
      </c>
    </row>
    <row r="15" ht="30" customHeight="1">
      <c r="A15" s="12" t="inlineStr">
        <is>
          <t>분석작업-2</t>
        </is>
      </c>
      <c r="B15" s="24" t="inlineStr">
        <is>
          <t>중복된 항목 제거 — 남은 12행 (5행 제거)</t>
        </is>
      </c>
      <c r="C15" s="12" t="n">
        <v>10</v>
      </c>
      <c r="D15" s="12" t="inlineStr">
        <is>
          <t>자동</t>
        </is>
      </c>
      <c r="E15" s="25">
        <f>IF(AND(COUNTA('분석작업-2'!$A$4:$A$30)=12,SUMPRODUCT(--('분석작업-2'!$A$4:$A$15='채점표'!$AA$12:$AA$23))=12),10,0)</f>
        <v/>
      </c>
      <c r="F15" s="26" t="inlineStr">
        <is>
          <t>자동</t>
        </is>
      </c>
      <c r="AA15" t="inlineStr">
        <is>
          <t>RB-401</t>
        </is>
      </c>
    </row>
    <row r="16" ht="30" customHeight="1">
      <c r="A16" s="12" t="inlineStr">
        <is>
          <t>기타작업-1</t>
        </is>
      </c>
      <c r="B16" s="24" t="inlineStr">
        <is>
          <t>차트 1) 차트 종류를 '묶은 가로 막대형' 으로 바꾸고 세로(항목) 축을 '항목을 거꾸로' 표시하시오</t>
        </is>
      </c>
      <c r="C16" s="12" t="n">
        <v>2</v>
      </c>
      <c r="D16" s="12" t="inlineStr">
        <is>
          <t>스스로</t>
        </is>
      </c>
      <c r="E16" s="27">
        <f>IF(G16="O",C16,0)</f>
        <v/>
      </c>
      <c r="F16" s="26" t="inlineStr">
        <is>
          <t>프레스가 맨 위</t>
        </is>
      </c>
      <c r="G16" s="28" t="n"/>
      <c r="AA16" t="inlineStr">
        <is>
          <t>CN-301</t>
        </is>
      </c>
    </row>
    <row r="17" ht="30" customHeight="1">
      <c r="A17" s="12" t="inlineStr">
        <is>
          <t>기타작업-1</t>
        </is>
      </c>
      <c r="B17" s="24" t="inlineStr">
        <is>
          <t>차트 2) '계획시간' 계열의 채우기를 '채우기 없음', 테두리 '실선' 으로 바꾸시오</t>
        </is>
      </c>
      <c r="C17" s="12" t="n">
        <v>2</v>
      </c>
      <c r="D17" s="12" t="inlineStr">
        <is>
          <t>스스로</t>
        </is>
      </c>
      <c r="E17" s="27">
        <f>IF(G17="O",C17,0)</f>
        <v/>
      </c>
      <c r="F17" s="26" t="inlineStr">
        <is>
          <t>빈 테두리 막대</t>
        </is>
      </c>
      <c r="G17" s="28" t="n"/>
      <c r="AA17" t="inlineStr">
        <is>
          <t>PR-102</t>
        </is>
      </c>
    </row>
    <row r="18" ht="30" customHeight="1">
      <c r="A18" s="12" t="inlineStr">
        <is>
          <t>기타작업-1</t>
        </is>
      </c>
      <c r="B18" s="24" t="inlineStr">
        <is>
          <t>차트 3) 계열 겹치기 100%, 간격 너비 60% 로 지정하시오</t>
        </is>
      </c>
      <c r="C18" s="12" t="n">
        <v>2</v>
      </c>
      <c r="D18" s="12" t="inlineStr">
        <is>
          <t>스스로</t>
        </is>
      </c>
      <c r="E18" s="27">
        <f>IF(G18="O",C18,0)</f>
        <v/>
      </c>
      <c r="F18" s="26" t="inlineStr">
        <is>
          <t>두 막대가 포개짐</t>
        </is>
      </c>
      <c r="G18" s="28" t="n"/>
      <c r="AA18" t="inlineStr">
        <is>
          <t>CV-501</t>
        </is>
      </c>
    </row>
    <row r="19" ht="30" customHeight="1">
      <c r="A19" s="12" t="inlineStr">
        <is>
          <t>기타작업-1</t>
        </is>
      </c>
      <c r="B19" s="24" t="inlineStr">
        <is>
          <t>차트 4) 차트 제목 '구분별 가동 현황' · 글꼴 굵게 14pt</t>
        </is>
      </c>
      <c r="C19" s="12" t="n">
        <v>2</v>
      </c>
      <c r="D19" s="12" t="inlineStr">
        <is>
          <t>스스로</t>
        </is>
      </c>
      <c r="E19" s="27">
        <f>IF(G19="O",C19,0)</f>
        <v/>
      </c>
      <c r="F19" s="26" t="inlineStr">
        <is>
          <t>위쪽 제목</t>
        </is>
      </c>
      <c r="G19" s="28" t="n"/>
      <c r="AA19" t="inlineStr">
        <is>
          <t>PR-102</t>
        </is>
      </c>
    </row>
    <row r="20" ht="30" customHeight="1">
      <c r="A20" s="12" t="inlineStr">
        <is>
          <t>기타작업-1</t>
        </is>
      </c>
      <c r="B20" s="24" t="inlineStr">
        <is>
          <t>차트 5) '가동시간' 계열에 데이터 레이블 '안쪽 끝에' 표시하시오</t>
        </is>
      </c>
      <c r="C20" s="12" t="n">
        <v>2</v>
      </c>
      <c r="D20" s="12" t="inlineStr">
        <is>
          <t>스스로</t>
        </is>
      </c>
      <c r="E20" s="27">
        <f>IF(G20="O",C20,0)</f>
        <v/>
      </c>
      <c r="F20" s="26" t="inlineStr">
        <is>
          <t>막대 안 끝에 숫자</t>
        </is>
      </c>
      <c r="G20" s="28" t="n"/>
      <c r="AA20" t="inlineStr">
        <is>
          <t>AC-601</t>
        </is>
      </c>
    </row>
    <row r="21" ht="46" customHeight="1">
      <c r="A21" s="12" t="inlineStr">
        <is>
          <t>기타작업-2</t>
        </is>
      </c>
      <c r="B21" s="24" t="inlineStr">
        <is>
          <t>매크로 1) [D4:D8] 에 가동률(가동시간÷계획시간)을 구하는 '가동률' 매크로 — [F3:G4] 영역 단추(텍스트 '가동률')에 연결</t>
        </is>
      </c>
      <c r="C21" s="12" t="n">
        <v>5</v>
      </c>
      <c r="D21" s="12" t="inlineStr">
        <is>
          <t>스스로</t>
        </is>
      </c>
      <c r="E21" s="27">
        <f>IF(G21="O",C21,0)</f>
        <v/>
      </c>
      <c r="F21" s="26" t="inlineStr">
        <is>
          <t>D4 에 =B4/C4</t>
        </is>
      </c>
      <c r="G21" s="28" t="n"/>
      <c r="AA21" t="inlineStr">
        <is>
          <t>WD-202</t>
        </is>
      </c>
    </row>
    <row r="22" ht="46" customHeight="1">
      <c r="A22" s="12" t="inlineStr">
        <is>
          <t>기타작업-2</t>
        </is>
      </c>
      <c r="B22" s="24" t="inlineStr">
        <is>
          <t>매크로 2) [D4:D8] 에 조건부 서식 '데이터 막대 — 그라데이션 채우기 파랑' 을 적용하는 '막대' 매크로 — [F6:G7] 영역 단추(텍스트 '막대')에 연결</t>
        </is>
      </c>
      <c r="C22" s="12" t="n">
        <v>5</v>
      </c>
      <c r="D22" s="12" t="inlineStr">
        <is>
          <t>스스로</t>
        </is>
      </c>
      <c r="E22" s="27">
        <f>IF(G22="O",C22,0)</f>
        <v/>
      </c>
      <c r="F22" s="26" t="inlineStr">
        <is>
          <t>칸 안에 파란 막대</t>
        </is>
      </c>
      <c r="G22" s="28" t="n"/>
      <c r="AA22" t="inlineStr">
        <is>
          <t>PR-101</t>
        </is>
      </c>
    </row>
    <row r="23" ht="46" customHeight="1">
      <c r="A23" s="12" t="inlineStr">
        <is>
          <t>기타작업-3</t>
        </is>
      </c>
      <c r="B23" s="24" t="inlineStr">
        <is>
          <t>VBA 1) [G3] 위치 단추(텍스트 '점검 등록')에, InputBox 로 설비코드·구분·비용을 받아 표 마지막 다음 줄에 넣고 점검일은 오늘 날짜로 넣는 '점검등록' 프로시저를 연결하시오.</t>
        </is>
      </c>
      <c r="C23" s="12" t="n">
        <v>5</v>
      </c>
      <c r="D23" s="12" t="inlineStr">
        <is>
          <t>스스로</t>
        </is>
      </c>
      <c r="E23" s="27">
        <f>IF(G23="O",C23,0)</f>
        <v/>
      </c>
      <c r="F23" s="26" t="inlineStr">
        <is>
          <t>6행에 새 줄</t>
        </is>
      </c>
      <c r="G23" s="28" t="n"/>
      <c r="AA23" t="inlineStr">
        <is>
          <t>RB-402</t>
        </is>
      </c>
    </row>
    <row r="24" ht="46" customHeight="1">
      <c r="A24" s="12" t="inlineStr">
        <is>
          <t>기타작업-3</t>
        </is>
      </c>
      <c r="B24" s="24" t="inlineStr">
        <is>
          <t>VBA 2) 구분이 '고장' 이면 그 줄의 글꼴 색을 빨강(vbRed)으로 바꾸도록 '점검등록' 에 덧붙이시오.</t>
        </is>
      </c>
      <c r="C24" s="12" t="n">
        <v>5</v>
      </c>
      <c r="D24" s="12" t="inlineStr">
        <is>
          <t>스스로</t>
        </is>
      </c>
      <c r="E24" s="27">
        <f>IF(G24="O",C24,0)</f>
        <v/>
      </c>
      <c r="F24" s="26" t="inlineStr">
        <is>
          <t>고장 입력 줄이 빨강</t>
        </is>
      </c>
      <c r="G24" s="28" t="n"/>
    </row>
    <row r="25" ht="46" customHeight="1">
      <c r="A25" s="12" t="inlineStr">
        <is>
          <t>기타작업-3</t>
        </is>
      </c>
      <c r="B25" s="24" t="inlineStr">
        <is>
          <t>VBA 3) [G6] 위치 단추(텍스트 '비용 합계')에, D열 비용 합계를 '총 점검 비용: 360,000원' 처럼 메시지로 보여 주는 '비용합계' 프로시저를 연결하시오.</t>
        </is>
      </c>
      <c r="C25" s="12" t="n">
        <v>5</v>
      </c>
      <c r="D25" s="12" t="inlineStr">
        <is>
          <t>스스로</t>
        </is>
      </c>
      <c r="E25" s="27">
        <f>IF(G25="O",C25,0)</f>
        <v/>
      </c>
      <c r="F25" s="26" t="inlineStr">
        <is>
          <t>누르면 합계 메시지</t>
        </is>
      </c>
      <c r="G25" s="28" t="n"/>
    </row>
    <row r="27">
      <c r="B27" s="29" t="inlineStr">
        <is>
          <t>합계 (100점 만점 · 70점 이상 합격)</t>
        </is>
      </c>
      <c r="E27" s="30">
        <f>SUM(E4:E25)</f>
        <v/>
      </c>
      <c r="F27" s="29">
        <f>IF(E27&gt;=70,"🎉 합격","불합격 — 틀린 작업의 [정답·해설]을 보세요")</f>
        <v/>
      </c>
    </row>
    <row r="29" ht="30" customHeight="1">
      <c r="A29" s="6" t="inlineStr">
        <is>
          <t>'스스로' 문항은 [확인 방법] 을 보고 실제로 그렇게 되어 있으면 O. 한 군데라도 다르면 X (실제 시험은 부분 점수 없음).</t>
        </is>
      </c>
    </row>
  </sheetData>
  <mergeCells count="2">
    <mergeCell ref="A1:G1"/>
    <mergeCell ref="A29:G29"/>
  </mergeCells>
  <dataValidations count="1">
    <dataValidation sqref="G5 G6 G12 G13 G14 G16 G17 G18 G19 G20 G21 G22 G23 G24 G25" showDropDown="0" showInputMessage="0" showErrorMessage="0" allowBlank="1" type="list">
      <formula1>"O,X"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6" customWidth="1" min="3" max="3"/>
  </cols>
  <sheetData>
    <row r="1" ht="26" customHeight="1">
      <c r="A1" s="10" t="inlineStr">
        <is>
          <t>정답·해설 — 1급 제3회 (먼저 끝까지 풀고 보세요)</t>
        </is>
      </c>
    </row>
    <row r="3" ht="24" customHeight="1">
      <c r="A3" s="23" t="inlineStr">
        <is>
          <t>작업</t>
        </is>
      </c>
      <c r="B3" s="23" t="inlineStr">
        <is>
          <t>무엇을</t>
        </is>
      </c>
      <c r="C3" s="23" t="inlineStr">
        <is>
          <t>어떻게 · 정답</t>
        </is>
      </c>
    </row>
    <row r="4" ht="22" customHeight="1">
      <c r="A4" s="31" t="inlineStr">
        <is>
          <t>기본작업-1</t>
        </is>
      </c>
      <c r="B4" s="24" t="inlineStr">
        <is>
          <t>고급 필터</t>
        </is>
      </c>
      <c r="C4" s="24" t="inlineStr">
        <is>
          <t>A17 '구분' · B17 '가동률' / A18 '프레스' / B19 '&lt;0.75' (다른 줄 = 또는) → 복사 위치 A21:C21</t>
        </is>
      </c>
    </row>
    <row r="5" ht="22" customHeight="1">
      <c r="A5" s="31" t="inlineStr">
        <is>
          <t>기본작업-1</t>
        </is>
      </c>
      <c r="B5" s="24" t="inlineStr">
        <is>
          <t>조건부 서식</t>
        </is>
      </c>
      <c r="C5" s="24" t="inlineStr">
        <is>
          <t>CV-501 · RB-401 · CN-301 세 행 — 수식 =$F4&gt;=LARGE($F$4:$F$15,3)</t>
        </is>
      </c>
    </row>
    <row r="6" ht="30" customHeight="1">
      <c r="A6" s="31" t="inlineStr">
        <is>
          <t>기본작업-2</t>
        </is>
      </c>
      <c r="B6" s="24" t="inlineStr">
        <is>
          <t>페이지 레이아웃</t>
        </is>
      </c>
      <c r="C6" s="24" t="inlineStr">
        <is>
          <t>[페이지 레이아웃] → 인쇄 영역 A1:F20, 머리글 오른쪽 &amp;[날짜], [시트] 탭 '행/열 머리글' 체크, [보기] 페이지 나누기 미리 보기</t>
        </is>
      </c>
    </row>
    <row r="7" ht="30" customHeight="1">
      <c r="A7" s="31" t="inlineStr">
        <is>
          <t>계산작업</t>
        </is>
      </c>
      <c r="B7" s="24" t="inlineStr">
        <is>
          <t>1. [표1] 구분별 평균 가동시간 → [G3:G5]</t>
        </is>
      </c>
      <c r="C7" s="32" t="inlineStr">
        <is>
          <t>=ROUNDUP(AVERAGEIFS($C$3:$C$10,$A$3:$A$10,E3,$B$3:$B$10,F3),0)   (첫 칸에 넣고 끝까지 끌어내리기)</t>
        </is>
      </c>
    </row>
    <row r="8" ht="30" customHeight="1">
      <c r="A8" s="31" t="inlineStr">
        <is>
          <t>계산작업</t>
        </is>
      </c>
      <c r="B8" s="24" t="inlineStr">
        <is>
          <t>2. [표2] 구분별 목표 달성 설비 수 → [F15:F17]</t>
        </is>
      </c>
      <c r="C8" s="32" t="inlineStr">
        <is>
          <t>=SUM(($A$15:$A$22=E15)*($C$15:$C$22&gt;=0.9))   {배열: Ctrl+Shift+Enter}   (첫 칸에 넣고 끝까지 끌어내리기)</t>
        </is>
      </c>
    </row>
    <row r="9" ht="22" customHeight="1">
      <c r="A9" s="31" t="inlineStr">
        <is>
          <t>계산작업</t>
        </is>
      </c>
      <c r="B9" s="24" t="inlineStr">
        <is>
          <t>3. [표3] 가동률 등급 → [C27:C32]</t>
        </is>
      </c>
      <c r="C9" s="32" t="inlineStr">
        <is>
          <t>=HLOOKUP(B27,$F$26:$I$27,2,TRUE)   (첫 칸에 넣고 끝까지 끌어내리기)</t>
        </is>
      </c>
    </row>
    <row r="10" ht="22" customHeight="1">
      <c r="A10" s="31" t="inlineStr">
        <is>
          <t>계산작업</t>
        </is>
      </c>
      <c r="B10" s="24" t="inlineStr">
        <is>
          <t>4. [표4] 설비 코드 줄여 쓰기 → [C37:C42]</t>
        </is>
      </c>
      <c r="C10" s="32" t="inlineStr">
        <is>
          <t>=UPPER(LEFT(A37,2))&amp;"-"&amp;RIGHT(A37,3)   (첫 칸에 넣고 끝까지 끌어내리기)</t>
        </is>
      </c>
    </row>
    <row r="11" ht="240" customHeight="1">
      <c r="A11" s="31" t="inlineStr">
        <is>
          <t>계산작업</t>
        </is>
      </c>
      <c r="B11" s="24" t="inlineStr">
        <is>
          <t>5. [표5] 점검 구분 (사용자 정의 함수)</t>
        </is>
      </c>
      <c r="C11" s="32" t="inlineStr">
        <is>
          <t>[개발 도구] → [Visual Basic] → [삽입] → [모듈] 에 입력:
Public Function fn점검(가동시간)
    Select Case 가동시간
        Case Is &gt;= 180
            fn점검 = "정밀점검"
        Case Is &gt;= 120
            fn점검 = "일반점검"
        Case Else
            fn점검 = "생략"
    End Select
End Function
그다음 C47 에 =fn점검(B47) 를 넣고 C52 까지 끌어내리기</t>
        </is>
      </c>
    </row>
    <row r="12" ht="75" customHeight="1">
      <c r="A12" s="31" t="inlineStr">
        <is>
          <t>분석작업-1</t>
        </is>
      </c>
      <c r="B12" s="24" t="inlineStr">
        <is>
          <t>피벗 테이블</t>
        </is>
      </c>
      <c r="C12" s="24" t="inlineStr">
        <is>
          <t>표 안 → [삽입] → [피벗 테이블] → 기존 워크시트 I3
구분 → 행, 가동시간·가동률 → 값
값 필드 설정 → '평균' 으로, 각각 표시 형식
가동률 평균 칸 오른쪽 클릭 → [정렬] → 내림차순</t>
        </is>
      </c>
    </row>
    <row r="13" ht="45" customHeight="1">
      <c r="A13" s="31" t="inlineStr">
        <is>
          <t>분석작업-2</t>
        </is>
      </c>
      <c r="B13" s="24" t="inlineStr">
        <is>
          <t>[분석작업-2] 시트의 [A3:E20] 표에서 '설비코드' 와 '점검일' 이 같은 중복 행을 [중복된 항목 제거] 로 지우시오.</t>
        </is>
      </c>
      <c r="C13" s="24" t="inlineStr">
        <is>
          <t>표 안 → [데이터] → [중복된 항목 제거]
'모두 선택 취소' → 설비코드·점검일만 체크 → 확인
'중복 값 5개가 제거되었습니다' 확인</t>
        </is>
      </c>
    </row>
    <row r="14" ht="150" customHeight="1">
      <c r="A14" s="31" t="inlineStr">
        <is>
          <t>기타작업-3</t>
        </is>
      </c>
      <c r="B14" s="24" t="inlineStr">
        <is>
          <t>1) [G3] 위치 단추</t>
        </is>
      </c>
      <c r="C14" s="32" t="inlineStr">
        <is>
          <t>Sub 점검등록()
    Dim r As Long
    r = Range("A3").CurrentRegion.Rows.Count + 3
    Cells(r, 1) = InputBox("설비코드")
    Cells(r, 2) = Date
    Cells(r, 3) = InputBox("구분")
    Cells(r, 4) = Val(InputBox("비용"))
End Sub</t>
        </is>
      </c>
    </row>
    <row r="15" ht="30" customHeight="1">
      <c r="A15" s="31" t="inlineStr">
        <is>
          <t>기타작업-3</t>
        </is>
      </c>
      <c r="B15" s="24" t="inlineStr">
        <is>
          <t>2) 구분이 '고장' 이면 그 줄의 글꼴 색을 빨강</t>
        </is>
      </c>
      <c r="C15" s="32" t="inlineStr">
        <is>
          <t xml:space="preserve">    If Cells(r, 3) = "고장" Then Range(Cells(r, 1), Cells(r, 4)).Font.Color = vbRed</t>
        </is>
      </c>
    </row>
    <row r="16" ht="60" customHeight="1">
      <c r="A16" s="31" t="inlineStr">
        <is>
          <t>기타작업-3</t>
        </is>
      </c>
      <c r="B16" s="24" t="inlineStr">
        <is>
          <t>3) [G6] 위치 단추</t>
        </is>
      </c>
      <c r="C16" s="32" t="inlineStr">
        <is>
          <t>Sub 비용합계()
    MsgBox "총 점검 비용: " &amp; Format(Application.Sum(Range("D:D")), "#,##0") &amp; "원"
End Sub</t>
        </is>
      </c>
    </row>
    <row r="17" ht="22" customHeight="1">
      <c r="A17" s="31" t="inlineStr">
        <is>
          <t>기타작업-1</t>
        </is>
      </c>
      <c r="B17" s="24" t="inlineStr">
        <is>
          <t>1) 차트 종류를 '묶은 가로 막대형' 으로 바꾸고 세로(항목) 축을 '항목을 거꾸로' 표시하시오</t>
        </is>
      </c>
      <c r="C17" s="24" t="inlineStr">
        <is>
          <t>프레스가 맨 위</t>
        </is>
      </c>
    </row>
    <row r="18" ht="22" customHeight="1">
      <c r="A18" s="31" t="inlineStr">
        <is>
          <t>기타작업-1</t>
        </is>
      </c>
      <c r="B18" s="24" t="inlineStr">
        <is>
          <t>2) '계획시간' 계열의 채우기를 '채우기 없음', 테두리 '실선' 으로 바꾸시오</t>
        </is>
      </c>
      <c r="C18" s="24" t="inlineStr">
        <is>
          <t>빈 테두리 막대</t>
        </is>
      </c>
    </row>
    <row r="19" ht="22" customHeight="1">
      <c r="A19" s="31" t="inlineStr">
        <is>
          <t>기타작업-1</t>
        </is>
      </c>
      <c r="B19" s="24" t="inlineStr">
        <is>
          <t>3) 계열 겹치기 100%, 간격 너비 60% 로 지정하시오</t>
        </is>
      </c>
      <c r="C19" s="24" t="inlineStr">
        <is>
          <t>두 막대가 포개짐</t>
        </is>
      </c>
    </row>
    <row r="20" ht="22" customHeight="1">
      <c r="A20" s="31" t="inlineStr">
        <is>
          <t>기타작업-1</t>
        </is>
      </c>
      <c r="B20" s="24" t="inlineStr">
        <is>
          <t>4) 차트 제목 '구분별 가동 현황' · 글꼴 굵게 14pt</t>
        </is>
      </c>
      <c r="C20" s="24" t="inlineStr">
        <is>
          <t>위쪽 제목</t>
        </is>
      </c>
    </row>
    <row r="21" ht="22" customHeight="1">
      <c r="A21" s="31" t="inlineStr">
        <is>
          <t>기타작업-1</t>
        </is>
      </c>
      <c r="B21" s="24" t="inlineStr">
        <is>
          <t>5) '가동시간' 계열에 데이터 레이블 '안쪽 끝에' 표시하시오</t>
        </is>
      </c>
      <c r="C21" s="24" t="inlineStr">
        <is>
          <t>막대 안 끝에 숫자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2026-09-28T03:29:30Z</dcterms:created>
  <dcterms:modified xmlns:dcterms="http://purl.org/dc/terms/" xmlns:xsi="http://www.w3.org/2001/XMLSchema-instance" xsi:type="dcterms:W3CDTF">2026-09-28T03:29:30Z</dcterms:modified>
</cp:coreProperties>
</file>