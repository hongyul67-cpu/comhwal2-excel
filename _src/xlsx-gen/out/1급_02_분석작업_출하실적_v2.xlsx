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출하실적" sheetId="2" state="visible" r:id="rId2"/>
    <sheet xmlns:r="http://schemas.openxmlformats.org/officeDocument/2006/relationships" name="통합대상" sheetId="3" state="visible" r:id="rId3"/>
    <sheet xmlns:r="http://schemas.openxmlformats.org/officeDocument/2006/relationships" name="데이터표" sheetId="4" state="visible" r:id="rId4"/>
    <sheet xmlns:r="http://schemas.openxmlformats.org/officeDocument/2006/relationships" name="미션" sheetId="5" state="visible" r:id="rId5"/>
    <sheet xmlns:r="http://schemas.openxmlformats.org/officeDocument/2006/relationships" name="따라하기" sheetId="6" state="visible" r:id="rId6"/>
    <sheet xmlns:r="http://schemas.openxmlformats.org/officeDocument/2006/relationships" name="계산 문제 정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9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  <sz val="11"/>
    </font>
    <font>
      <i val="1"/>
      <color rgb="00A6A6A6"/>
    </font>
    <font>
      <b val="1"/>
      <color rgb="002E5C8A"/>
    </font>
    <font>
      <b val="1"/>
      <color rgb="001F4E79"/>
    </font>
    <font>
      <b val="1"/>
      <color rgb="001F3864"/>
      <sz val="14"/>
    </font>
    <font>
      <b val="1"/>
      <color rgb="002E5C8A"/>
      <sz val="10.5"/>
    </font>
    <font>
      <sz val="10.5"/>
    </font>
    <font>
      <b val="1"/>
      <sz val="10"/>
    </font>
    <font>
      <color rgb="007F7F7F"/>
      <sz val="10"/>
    </font>
    <font>
      <b val="1"/>
      <color rgb="00C55A11"/>
      <sz val="10.5"/>
    </font>
    <font>
      <b val="1"/>
    </font>
    <font>
      <b val="1"/>
      <color rgb="00C55A11"/>
      <sz val="11.5"/>
    </font>
    <font>
      <color rgb="00C55A11"/>
      <sz val="10"/>
    </font>
    <font>
      <sz val="13"/>
    </font>
    <font>
      <b val="1"/>
      <color rgb="00FFFFFF"/>
      <sz val="12"/>
    </font>
    <font>
      <b val="1"/>
      <color rgb="00C55A11"/>
      <sz val="10"/>
    </font>
    <font>
      <b val="1"/>
      <color rgb="002E5C8A"/>
      <sz val="10"/>
    </font>
    <font>
      <b val="1"/>
      <color rgb="00006100"/>
      <sz val="10"/>
    </font>
    <font>
      <color rgb="00006100"/>
      <sz val="10.5"/>
    </font>
    <font>
      <b val="1"/>
      <color rgb="00FFFFFF"/>
      <sz val="11.5"/>
    </font>
    <font>
      <b val="1"/>
      <color rgb="00C55A11"/>
    </font>
    <font>
      <sz val="10"/>
    </font>
    <font>
      <name val="Consolas"/>
      <b val="1"/>
      <color rgb="001F4E79"/>
      <sz val="10"/>
    </font>
    <font>
      <b val="1"/>
      <color rgb="00006100"/>
    </font>
  </fonts>
  <fills count="12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7EEF8"/>
      </patternFill>
    </fill>
    <fill>
      <patternFill patternType="solid">
        <fgColor rgb="007B4FBF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EBF7EE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/>
    </xf>
    <xf numFmtId="3" fontId="6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6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0" fillId="0" borderId="1" pivotButton="0" quotePrefix="0" xfId="0"/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applyAlignment="1" pivotButton="0" quotePrefix="0" xfId="0">
      <alignment vertical="center"/>
    </xf>
    <xf numFmtId="0" fontId="14" fillId="0" borderId="0" pivotButton="0" quotePrefix="0" xfId="0"/>
    <xf numFmtId="0" fontId="15" fillId="7" borderId="1" applyAlignment="1" pivotButton="0" quotePrefix="0" xfId="0">
      <alignment vertical="center"/>
    </xf>
    <xf numFmtId="3" fontId="15" fillId="7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3" fontId="15" fillId="8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7" fillId="0" borderId="0" pivotButton="0" quotePrefix="0" xfId="0"/>
    <xf numFmtId="3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8" fillId="4" borderId="1" applyAlignment="1" pivotButton="0" quotePrefix="0" xfId="0">
      <alignment horizontal="center" vertical="center"/>
    </xf>
    <xf numFmtId="0" fontId="19" fillId="3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10" borderId="0" applyAlignment="1" pivotButton="0" quotePrefix="0" xfId="0">
      <alignment vertical="center" wrapText="1"/>
    </xf>
    <xf numFmtId="0" fontId="24" fillId="11" borderId="0" applyAlignment="1" pivotButton="0" quotePrefix="0" xfId="0">
      <alignment vertical="center"/>
    </xf>
    <xf numFmtId="0" fontId="25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0" fontId="27" fillId="0" borderId="1" applyAlignment="1" pivotButton="0" quotePrefix="0" xfId="0">
      <alignment vertical="center" wrapText="1"/>
    </xf>
    <xf numFmtId="0" fontId="28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vertical="center" wrapText="1"/>
    </xf>
    <xf numFmtId="0" fontId="27" fillId="8" borderId="1" applyAlignment="1" pivotButton="0" quotePrefix="0" xfId="0">
      <alignment vertical="center" wrapText="1"/>
    </xf>
    <xf numFmtId="0" fontId="28" fillId="8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1급 실기 ② 분석작업 — 출하 실적</t>
        </is>
      </c>
    </row>
    <row r="3" ht="19" customHeight="1">
      <c r="B3" s="2" t="inlineStr"/>
    </row>
    <row r="4" ht="24" customHeight="1">
      <c r="B4" s="3" t="inlineStr">
        <is>
          <t>시트 안내</t>
        </is>
      </c>
    </row>
    <row r="5" ht="19" customHeight="1">
      <c r="B5" s="2" t="inlineStr">
        <is>
          <t>출하실적 — 48건. 피벗(그룹화·계산 필드)·부분합·정렬·중복 제거용 + 계산 문제 6개</t>
        </is>
      </c>
    </row>
    <row r="6" ht="19" customHeight="1">
      <c r="B6" s="2" t="inlineStr">
        <is>
          <t>통합대상 — 분기별 작은 표 3개. [데이터 → 통합] 연습</t>
        </is>
      </c>
    </row>
    <row r="7" ht="19" customHeight="1">
      <c r="B7" s="2" t="inlineStr">
        <is>
          <t>데이터표 — 1변수·2변수 데이터 표(가상 분석) 연습</t>
        </is>
      </c>
    </row>
    <row r="8" ht="19" customHeight="1">
      <c r="B8" s="2" t="inlineStr">
        <is>
          <t>미션     — 해야 할 일 14가지 체크리스트</t>
        </is>
      </c>
    </row>
    <row r="9" ht="19" customHeight="1">
      <c r="B9" s="2" t="inlineStr">
        <is>
          <t>따라하기 — 14가지를 1단계·2단계… 로 풀어 쓴 것 (이것이 정답입니다)</t>
        </is>
      </c>
    </row>
    <row r="10" ht="19" customHeight="1">
      <c r="B10" s="2" t="inlineStr"/>
    </row>
    <row r="11" ht="24" customHeight="1">
      <c r="B11" s="3" t="inlineStr">
        <is>
          <t>1급에서 더 나오는 것</t>
        </is>
      </c>
    </row>
    <row r="12" ht="19" customHeight="1">
      <c r="B12" s="2" t="inlineStr">
        <is>
          <t>피벗 : 날짜 그룹화(월·분기) · 계산 필드 · 값 표시 형식(비율) · 보고서 필터 · 슬라이서</t>
        </is>
      </c>
    </row>
    <row r="13" ht="19" customHeight="1">
      <c r="B13" s="2" t="inlineStr">
        <is>
          <t>가상 분석 : 데이터 표(한 셀을 여러 값으로 바꿔 결과를 한꺼번에) · 시나리오 · 목표값 찾기</t>
        </is>
      </c>
    </row>
    <row r="14" ht="19" customHeight="1">
      <c r="B14" s="2" t="inlineStr">
        <is>
          <t>통합 : 흩어진 표 여러 개를 항목 기준으로 합치기 · 중복된 항목 제거</t>
        </is>
      </c>
    </row>
    <row r="15" ht="34" customHeight="1">
      <c r="B15" s="4" t="inlineStr">
        <is>
          <t>데이터 표의 결과 칸은 한 칸만 지울 수 없습니다(배열). 범위를 통째로 잡아야 지워집니다.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3:AB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6" customWidth="1" min="5" max="5"/>
    <col width="12" customWidth="1" min="6" max="6"/>
    <col width="14" customWidth="1" min="7" max="7"/>
    <col width="11" customWidth="1" min="8" max="8"/>
    <col width="12" customWidth="1" min="9" max="9"/>
    <col width="12" customWidth="1" min="10" max="10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3" ht="24" customHeight="1">
      <c r="A3" s="5" t="inlineStr">
        <is>
          <t>출하일</t>
        </is>
      </c>
      <c r="B3" s="5" t="inlineStr">
        <is>
          <t>지역</t>
        </is>
      </c>
      <c r="C3" s="5" t="inlineStr">
        <is>
          <t>거래처</t>
        </is>
      </c>
      <c r="D3" s="5" t="inlineStr">
        <is>
          <t>제품</t>
        </is>
      </c>
      <c r="E3" s="5" t="inlineStr">
        <is>
          <t>수량</t>
        </is>
      </c>
      <c r="F3" s="5" t="inlineStr">
        <is>
          <t>단가</t>
        </is>
      </c>
      <c r="G3" s="5" t="inlineStr">
        <is>
          <t>금액</t>
        </is>
      </c>
      <c r="H3" s="5" t="inlineStr">
        <is>
          <t>담당자</t>
        </is>
      </c>
    </row>
    <row r="4">
      <c r="A4" s="6" t="n">
        <v>46027</v>
      </c>
      <c r="B4" s="7" t="inlineStr">
        <is>
          <t>수도권</t>
        </is>
      </c>
      <c r="C4" s="7" t="inlineStr">
        <is>
          <t>대한정밀</t>
        </is>
      </c>
      <c r="D4" s="7" t="inlineStr">
        <is>
          <t>베어링유닛</t>
        </is>
      </c>
      <c r="E4" s="8" t="n">
        <v>120</v>
      </c>
      <c r="F4" s="8" t="n">
        <v>12000</v>
      </c>
      <c r="G4" s="9" t="n">
        <v>0</v>
      </c>
      <c r="H4" s="7" t="inlineStr">
        <is>
          <t>김현수</t>
        </is>
      </c>
      <c r="AB4">
        <f>E4*F4</f>
        <v/>
      </c>
    </row>
    <row r="5">
      <c r="A5" s="6" t="n">
        <v>46032</v>
      </c>
      <c r="B5" s="7" t="inlineStr">
        <is>
          <t>충청권</t>
        </is>
      </c>
      <c r="C5" s="7" t="inlineStr">
        <is>
          <t>성일기공</t>
        </is>
      </c>
      <c r="D5" s="7" t="inlineStr">
        <is>
          <t>감속기어</t>
        </is>
      </c>
      <c r="E5" s="8" t="n">
        <v>20</v>
      </c>
      <c r="F5" s="8" t="n">
        <v>45000</v>
      </c>
      <c r="G5" s="10" t="n"/>
      <c r="H5" s="7" t="inlineStr">
        <is>
          <t>박지훈</t>
        </is>
      </c>
      <c r="AB5">
        <f>E5*F5</f>
        <v/>
      </c>
    </row>
    <row r="6">
      <c r="A6" s="6" t="n">
        <v>46037</v>
      </c>
      <c r="B6" s="7" t="inlineStr">
        <is>
          <t>영남권</t>
        </is>
      </c>
      <c r="C6" s="7" t="inlineStr">
        <is>
          <t>한빛모터스</t>
        </is>
      </c>
      <c r="D6" s="7" t="inlineStr">
        <is>
          <t>구동축</t>
        </is>
      </c>
      <c r="E6" s="8" t="n">
        <v>60</v>
      </c>
      <c r="F6" s="8" t="n">
        <v>78000</v>
      </c>
      <c r="G6" s="10" t="n"/>
      <c r="H6" s="7" t="inlineStr">
        <is>
          <t>이서연</t>
        </is>
      </c>
      <c r="AB6">
        <f>E6*F6</f>
        <v/>
      </c>
    </row>
    <row r="7">
      <c r="A7" s="6" t="n">
        <v>46042</v>
      </c>
      <c r="B7" s="7" t="inlineStr">
        <is>
          <t>호남권</t>
        </is>
      </c>
      <c r="C7" s="7" t="inlineStr">
        <is>
          <t>제일오토</t>
        </is>
      </c>
      <c r="D7" s="7" t="inlineStr">
        <is>
          <t>밸브블록</t>
        </is>
      </c>
      <c r="E7" s="8" t="n">
        <v>80</v>
      </c>
      <c r="F7" s="8" t="n">
        <v>33000</v>
      </c>
      <c r="G7" s="10" t="n"/>
      <c r="H7" s="7" t="inlineStr">
        <is>
          <t>최민재</t>
        </is>
      </c>
      <c r="AB7">
        <f>E7*F7</f>
        <v/>
      </c>
    </row>
    <row r="8">
      <c r="A8" s="6" t="n">
        <v>46047</v>
      </c>
      <c r="B8" s="7" t="inlineStr">
        <is>
          <t>수도권</t>
        </is>
      </c>
      <c r="C8" s="7" t="inlineStr">
        <is>
          <t>세진테크</t>
        </is>
      </c>
      <c r="D8" s="7" t="inlineStr">
        <is>
          <t>베어링유닛</t>
        </is>
      </c>
      <c r="E8" s="8" t="n">
        <v>40</v>
      </c>
      <c r="F8" s="8" t="n">
        <v>12000</v>
      </c>
      <c r="G8" s="10" t="n"/>
      <c r="H8" s="7" t="inlineStr">
        <is>
          <t>김현수</t>
        </is>
      </c>
      <c r="AB8">
        <f>E8*F8</f>
        <v/>
      </c>
    </row>
    <row r="9">
      <c r="A9" s="6" t="n">
        <v>46052</v>
      </c>
      <c r="B9" s="7" t="inlineStr">
        <is>
          <t>충청권</t>
        </is>
      </c>
      <c r="C9" s="7" t="inlineStr">
        <is>
          <t>동양산업</t>
        </is>
      </c>
      <c r="D9" s="7" t="inlineStr">
        <is>
          <t>감속기어</t>
        </is>
      </c>
      <c r="E9" s="8" t="n">
        <v>55</v>
      </c>
      <c r="F9" s="8" t="n">
        <v>45000</v>
      </c>
      <c r="G9" s="10" t="n"/>
      <c r="H9" s="7" t="inlineStr">
        <is>
          <t>박지훈</t>
        </is>
      </c>
      <c r="AB9">
        <f>E9*F9</f>
        <v/>
      </c>
    </row>
    <row r="10">
      <c r="A10" s="6" t="n">
        <v>46057</v>
      </c>
      <c r="B10" s="7" t="inlineStr">
        <is>
          <t>영남권</t>
        </is>
      </c>
      <c r="C10" s="7" t="inlineStr">
        <is>
          <t>대한정밀</t>
        </is>
      </c>
      <c r="D10" s="7" t="inlineStr">
        <is>
          <t>구동축</t>
        </is>
      </c>
      <c r="E10" s="8" t="n">
        <v>100</v>
      </c>
      <c r="F10" s="8" t="n">
        <v>78000</v>
      </c>
      <c r="G10" s="10" t="n"/>
      <c r="H10" s="7" t="inlineStr">
        <is>
          <t>이서연</t>
        </is>
      </c>
      <c r="AB10">
        <f>E10*F10</f>
        <v/>
      </c>
    </row>
    <row r="11">
      <c r="A11" s="6" t="n">
        <v>46062</v>
      </c>
      <c r="B11" s="7" t="inlineStr">
        <is>
          <t>호남권</t>
        </is>
      </c>
      <c r="C11" s="7" t="inlineStr">
        <is>
          <t>성일기공</t>
        </is>
      </c>
      <c r="D11" s="7" t="inlineStr">
        <is>
          <t>밸브블록</t>
        </is>
      </c>
      <c r="E11" s="8" t="n">
        <v>40</v>
      </c>
      <c r="F11" s="8" t="n">
        <v>33000</v>
      </c>
      <c r="G11" s="10" t="n"/>
      <c r="H11" s="7" t="inlineStr">
        <is>
          <t>최민재</t>
        </is>
      </c>
      <c r="AB11">
        <f>E11*F11</f>
        <v/>
      </c>
    </row>
    <row r="12">
      <c r="A12" s="6" t="n">
        <v>46067</v>
      </c>
      <c r="B12" s="7" t="inlineStr">
        <is>
          <t>수도권</t>
        </is>
      </c>
      <c r="C12" s="7" t="inlineStr">
        <is>
          <t>한빛모터스</t>
        </is>
      </c>
      <c r="D12" s="7" t="inlineStr">
        <is>
          <t>베어링유닛</t>
        </is>
      </c>
      <c r="E12" s="8" t="n">
        <v>35</v>
      </c>
      <c r="F12" s="8" t="n">
        <v>12000</v>
      </c>
      <c r="G12" s="10" t="n"/>
      <c r="H12" s="7" t="inlineStr">
        <is>
          <t>김현수</t>
        </is>
      </c>
      <c r="AB12">
        <f>E12*F12</f>
        <v/>
      </c>
    </row>
    <row r="13">
      <c r="A13" s="6" t="n">
        <v>46072</v>
      </c>
      <c r="B13" s="7" t="inlineStr">
        <is>
          <t>충청권</t>
        </is>
      </c>
      <c r="C13" s="7" t="inlineStr">
        <is>
          <t>제일오토</t>
        </is>
      </c>
      <c r="D13" s="7" t="inlineStr">
        <is>
          <t>감속기어</t>
        </is>
      </c>
      <c r="E13" s="8" t="n">
        <v>35</v>
      </c>
      <c r="F13" s="8" t="n">
        <v>45000</v>
      </c>
      <c r="G13" s="10" t="n"/>
      <c r="H13" s="7" t="inlineStr">
        <is>
          <t>박지훈</t>
        </is>
      </c>
      <c r="AB13">
        <f>E13*F13</f>
        <v/>
      </c>
    </row>
    <row r="14">
      <c r="A14" s="6" t="n">
        <v>46077</v>
      </c>
      <c r="B14" s="7" t="inlineStr">
        <is>
          <t>영남권</t>
        </is>
      </c>
      <c r="C14" s="7" t="inlineStr">
        <is>
          <t>세진테크</t>
        </is>
      </c>
      <c r="D14" s="7" t="inlineStr">
        <is>
          <t>구동축</t>
        </is>
      </c>
      <c r="E14" s="8" t="n">
        <v>55</v>
      </c>
      <c r="F14" s="8" t="n">
        <v>78000</v>
      </c>
      <c r="G14" s="10" t="n"/>
      <c r="H14" s="7" t="inlineStr">
        <is>
          <t>이서연</t>
        </is>
      </c>
      <c r="AB14">
        <f>E14*F14</f>
        <v/>
      </c>
    </row>
    <row r="15">
      <c r="A15" s="6" t="n">
        <v>46082</v>
      </c>
      <c r="B15" s="7" t="inlineStr">
        <is>
          <t>호남권</t>
        </is>
      </c>
      <c r="C15" s="7" t="inlineStr">
        <is>
          <t>동양산업</t>
        </is>
      </c>
      <c r="D15" s="7" t="inlineStr">
        <is>
          <t>밸브블록</t>
        </is>
      </c>
      <c r="E15" s="8" t="n">
        <v>80</v>
      </c>
      <c r="F15" s="8" t="n">
        <v>33000</v>
      </c>
      <c r="G15" s="10" t="n"/>
      <c r="H15" s="7" t="inlineStr">
        <is>
          <t>최민재</t>
        </is>
      </c>
      <c r="AB15">
        <f>E15*F15</f>
        <v/>
      </c>
    </row>
    <row r="16">
      <c r="A16" s="6" t="n">
        <v>46087</v>
      </c>
      <c r="B16" s="7" t="inlineStr">
        <is>
          <t>수도권</t>
        </is>
      </c>
      <c r="C16" s="7" t="inlineStr">
        <is>
          <t>대한정밀</t>
        </is>
      </c>
      <c r="D16" s="7" t="inlineStr">
        <is>
          <t>베어링유닛</t>
        </is>
      </c>
      <c r="E16" s="8" t="n">
        <v>55</v>
      </c>
      <c r="F16" s="8" t="n">
        <v>12000</v>
      </c>
      <c r="G16" s="10" t="n"/>
      <c r="H16" s="7" t="inlineStr">
        <is>
          <t>김현수</t>
        </is>
      </c>
      <c r="AB16">
        <f>E16*F16</f>
        <v/>
      </c>
    </row>
    <row r="17">
      <c r="A17" s="6" t="n">
        <v>46092</v>
      </c>
      <c r="B17" s="7" t="inlineStr">
        <is>
          <t>충청권</t>
        </is>
      </c>
      <c r="C17" s="7" t="inlineStr">
        <is>
          <t>성일기공</t>
        </is>
      </c>
      <c r="D17" s="7" t="inlineStr">
        <is>
          <t>감속기어</t>
        </is>
      </c>
      <c r="E17" s="8" t="n">
        <v>100</v>
      </c>
      <c r="F17" s="8" t="n">
        <v>45000</v>
      </c>
      <c r="G17" s="10" t="n"/>
      <c r="H17" s="7" t="inlineStr">
        <is>
          <t>박지훈</t>
        </is>
      </c>
      <c r="AB17">
        <f>E17*F17</f>
        <v/>
      </c>
    </row>
    <row r="18">
      <c r="A18" s="6" t="n">
        <v>46097</v>
      </c>
      <c r="B18" s="7" t="inlineStr">
        <is>
          <t>영남권</t>
        </is>
      </c>
      <c r="C18" s="7" t="inlineStr">
        <is>
          <t>한빛모터스</t>
        </is>
      </c>
      <c r="D18" s="7" t="inlineStr">
        <is>
          <t>구동축</t>
        </is>
      </c>
      <c r="E18" s="8" t="n">
        <v>55</v>
      </c>
      <c r="F18" s="8" t="n">
        <v>78000</v>
      </c>
      <c r="G18" s="10" t="n"/>
      <c r="H18" s="7" t="inlineStr">
        <is>
          <t>이서연</t>
        </is>
      </c>
      <c r="AB18">
        <f>E18*F18</f>
        <v/>
      </c>
    </row>
    <row r="19">
      <c r="A19" s="6" t="n">
        <v>46102</v>
      </c>
      <c r="B19" s="7" t="inlineStr">
        <is>
          <t>호남권</t>
        </is>
      </c>
      <c r="C19" s="7" t="inlineStr">
        <is>
          <t>제일오토</t>
        </is>
      </c>
      <c r="D19" s="7" t="inlineStr">
        <is>
          <t>밸브블록</t>
        </is>
      </c>
      <c r="E19" s="8" t="n">
        <v>40</v>
      </c>
      <c r="F19" s="8" t="n">
        <v>33000</v>
      </c>
      <c r="G19" s="10" t="n"/>
      <c r="H19" s="7" t="inlineStr">
        <is>
          <t>최민재</t>
        </is>
      </c>
      <c r="AB19">
        <f>E19*F19</f>
        <v/>
      </c>
    </row>
    <row r="20">
      <c r="A20" s="6" t="n">
        <v>46107</v>
      </c>
      <c r="B20" s="7" t="inlineStr">
        <is>
          <t>수도권</t>
        </is>
      </c>
      <c r="C20" s="7" t="inlineStr">
        <is>
          <t>세진테크</t>
        </is>
      </c>
      <c r="D20" s="7" t="inlineStr">
        <is>
          <t>베어링유닛</t>
        </is>
      </c>
      <c r="E20" s="8" t="n">
        <v>55</v>
      </c>
      <c r="F20" s="8" t="n">
        <v>12000</v>
      </c>
      <c r="G20" s="10" t="n"/>
      <c r="H20" s="7" t="inlineStr">
        <is>
          <t>김현수</t>
        </is>
      </c>
      <c r="AB20">
        <f>E20*F20</f>
        <v/>
      </c>
    </row>
    <row r="21">
      <c r="A21" s="6" t="n">
        <v>46112</v>
      </c>
      <c r="B21" s="7" t="inlineStr">
        <is>
          <t>충청권</t>
        </is>
      </c>
      <c r="C21" s="7" t="inlineStr">
        <is>
          <t>동양산업</t>
        </is>
      </c>
      <c r="D21" s="7" t="inlineStr">
        <is>
          <t>감속기어</t>
        </is>
      </c>
      <c r="E21" s="8" t="n">
        <v>100</v>
      </c>
      <c r="F21" s="8" t="n">
        <v>45000</v>
      </c>
      <c r="G21" s="10" t="n"/>
      <c r="H21" s="7" t="inlineStr">
        <is>
          <t>박지훈</t>
        </is>
      </c>
      <c r="AB21">
        <f>E21*F21</f>
        <v/>
      </c>
    </row>
    <row r="22">
      <c r="A22" s="6" t="n">
        <v>46117</v>
      </c>
      <c r="B22" s="7" t="inlineStr">
        <is>
          <t>영남권</t>
        </is>
      </c>
      <c r="C22" s="7" t="inlineStr">
        <is>
          <t>대한정밀</t>
        </is>
      </c>
      <c r="D22" s="7" t="inlineStr">
        <is>
          <t>구동축</t>
        </is>
      </c>
      <c r="E22" s="8" t="n">
        <v>120</v>
      </c>
      <c r="F22" s="8" t="n">
        <v>78000</v>
      </c>
      <c r="G22" s="10" t="n"/>
      <c r="H22" s="7" t="inlineStr">
        <is>
          <t>이서연</t>
        </is>
      </c>
      <c r="AB22">
        <f>E22*F22</f>
        <v/>
      </c>
    </row>
    <row r="23">
      <c r="A23" s="6" t="n">
        <v>46122</v>
      </c>
      <c r="B23" s="7" t="inlineStr">
        <is>
          <t>호남권</t>
        </is>
      </c>
      <c r="C23" s="7" t="inlineStr">
        <is>
          <t>성일기공</t>
        </is>
      </c>
      <c r="D23" s="7" t="inlineStr">
        <is>
          <t>밸브블록</t>
        </is>
      </c>
      <c r="E23" s="8" t="n">
        <v>35</v>
      </c>
      <c r="F23" s="8" t="n">
        <v>33000</v>
      </c>
      <c r="G23" s="10" t="n"/>
      <c r="H23" s="7" t="inlineStr">
        <is>
          <t>최민재</t>
        </is>
      </c>
      <c r="AB23">
        <f>E23*F23</f>
        <v/>
      </c>
    </row>
    <row r="24">
      <c r="A24" s="6" t="n">
        <v>46127</v>
      </c>
      <c r="B24" s="7" t="inlineStr">
        <is>
          <t>수도권</t>
        </is>
      </c>
      <c r="C24" s="7" t="inlineStr">
        <is>
          <t>한빛모터스</t>
        </is>
      </c>
      <c r="D24" s="7" t="inlineStr">
        <is>
          <t>베어링유닛</t>
        </is>
      </c>
      <c r="E24" s="8" t="n">
        <v>120</v>
      </c>
      <c r="F24" s="8" t="n">
        <v>12000</v>
      </c>
      <c r="G24" s="10" t="n"/>
      <c r="H24" s="7" t="inlineStr">
        <is>
          <t>김현수</t>
        </is>
      </c>
      <c r="AB24">
        <f>E24*F24</f>
        <v/>
      </c>
    </row>
    <row r="25">
      <c r="A25" s="6" t="n">
        <v>46132</v>
      </c>
      <c r="B25" s="7" t="inlineStr">
        <is>
          <t>충청권</t>
        </is>
      </c>
      <c r="C25" s="7" t="inlineStr">
        <is>
          <t>제일오토</t>
        </is>
      </c>
      <c r="D25" s="7" t="inlineStr">
        <is>
          <t>감속기어</t>
        </is>
      </c>
      <c r="E25" s="8" t="n">
        <v>60</v>
      </c>
      <c r="F25" s="8" t="n">
        <v>45000</v>
      </c>
      <c r="G25" s="10" t="n"/>
      <c r="H25" s="7" t="inlineStr">
        <is>
          <t>박지훈</t>
        </is>
      </c>
      <c r="AB25">
        <f>E25*F25</f>
        <v/>
      </c>
    </row>
    <row r="26">
      <c r="A26" s="6" t="n">
        <v>46137</v>
      </c>
      <c r="B26" s="7" t="inlineStr">
        <is>
          <t>영남권</t>
        </is>
      </c>
      <c r="C26" s="7" t="inlineStr">
        <is>
          <t>세진테크</t>
        </is>
      </c>
      <c r="D26" s="7" t="inlineStr">
        <is>
          <t>구동축</t>
        </is>
      </c>
      <c r="E26" s="8" t="n">
        <v>40</v>
      </c>
      <c r="F26" s="8" t="n">
        <v>78000</v>
      </c>
      <c r="G26" s="10" t="n"/>
      <c r="H26" s="7" t="inlineStr">
        <is>
          <t>이서연</t>
        </is>
      </c>
      <c r="AB26">
        <f>E26*F26</f>
        <v/>
      </c>
    </row>
    <row r="27">
      <c r="A27" s="6" t="n">
        <v>46142</v>
      </c>
      <c r="B27" s="7" t="inlineStr">
        <is>
          <t>호남권</t>
        </is>
      </c>
      <c r="C27" s="7" t="inlineStr">
        <is>
          <t>동양산업</t>
        </is>
      </c>
      <c r="D27" s="7" t="inlineStr">
        <is>
          <t>밸브블록</t>
        </is>
      </c>
      <c r="E27" s="8" t="n">
        <v>20</v>
      </c>
      <c r="F27" s="8" t="n">
        <v>33000</v>
      </c>
      <c r="G27" s="10" t="n"/>
      <c r="H27" s="7" t="inlineStr">
        <is>
          <t>최민재</t>
        </is>
      </c>
      <c r="AB27">
        <f>E27*F27</f>
        <v/>
      </c>
    </row>
    <row r="28">
      <c r="A28" s="6" t="n">
        <v>46147</v>
      </c>
      <c r="B28" s="7" t="inlineStr">
        <is>
          <t>수도권</t>
        </is>
      </c>
      <c r="C28" s="7" t="inlineStr">
        <is>
          <t>대한정밀</t>
        </is>
      </c>
      <c r="D28" s="7" t="inlineStr">
        <is>
          <t>베어링유닛</t>
        </is>
      </c>
      <c r="E28" s="8" t="n">
        <v>35</v>
      </c>
      <c r="F28" s="8" t="n">
        <v>12000</v>
      </c>
      <c r="G28" s="10" t="n"/>
      <c r="H28" s="7" t="inlineStr">
        <is>
          <t>김현수</t>
        </is>
      </c>
      <c r="AB28">
        <f>E28*F28</f>
        <v/>
      </c>
    </row>
    <row r="29">
      <c r="A29" s="6" t="n">
        <v>46152</v>
      </c>
      <c r="B29" s="7" t="inlineStr">
        <is>
          <t>충청권</t>
        </is>
      </c>
      <c r="C29" s="7" t="inlineStr">
        <is>
          <t>성일기공</t>
        </is>
      </c>
      <c r="D29" s="7" t="inlineStr">
        <is>
          <t>감속기어</t>
        </is>
      </c>
      <c r="E29" s="8" t="n">
        <v>120</v>
      </c>
      <c r="F29" s="8" t="n">
        <v>45000</v>
      </c>
      <c r="G29" s="10" t="n"/>
      <c r="H29" s="7" t="inlineStr">
        <is>
          <t>박지훈</t>
        </is>
      </c>
      <c r="AB29">
        <f>E29*F29</f>
        <v/>
      </c>
    </row>
    <row r="30">
      <c r="A30" s="6" t="n">
        <v>46157</v>
      </c>
      <c r="B30" s="7" t="inlineStr">
        <is>
          <t>영남권</t>
        </is>
      </c>
      <c r="C30" s="7" t="inlineStr">
        <is>
          <t>한빛모터스</t>
        </is>
      </c>
      <c r="D30" s="7" t="inlineStr">
        <is>
          <t>구동축</t>
        </is>
      </c>
      <c r="E30" s="8" t="n">
        <v>20</v>
      </c>
      <c r="F30" s="8" t="n">
        <v>78000</v>
      </c>
      <c r="G30" s="10" t="n"/>
      <c r="H30" s="7" t="inlineStr">
        <is>
          <t>이서연</t>
        </is>
      </c>
      <c r="AB30">
        <f>E30*F30</f>
        <v/>
      </c>
    </row>
    <row r="31">
      <c r="A31" s="6" t="n">
        <v>46162</v>
      </c>
      <c r="B31" s="7" t="inlineStr">
        <is>
          <t>호남권</t>
        </is>
      </c>
      <c r="C31" s="7" t="inlineStr">
        <is>
          <t>제일오토</t>
        </is>
      </c>
      <c r="D31" s="7" t="inlineStr">
        <is>
          <t>밸브블록</t>
        </is>
      </c>
      <c r="E31" s="8" t="n">
        <v>80</v>
      </c>
      <c r="F31" s="8" t="n">
        <v>33000</v>
      </c>
      <c r="G31" s="10" t="n"/>
      <c r="H31" s="7" t="inlineStr">
        <is>
          <t>최민재</t>
        </is>
      </c>
      <c r="AB31">
        <f>E31*F31</f>
        <v/>
      </c>
    </row>
    <row r="32">
      <c r="A32" s="6" t="n">
        <v>46167</v>
      </c>
      <c r="B32" s="7" t="inlineStr">
        <is>
          <t>수도권</t>
        </is>
      </c>
      <c r="C32" s="7" t="inlineStr">
        <is>
          <t>세진테크</t>
        </is>
      </c>
      <c r="D32" s="7" t="inlineStr">
        <is>
          <t>베어링유닛</t>
        </is>
      </c>
      <c r="E32" s="8" t="n">
        <v>55</v>
      </c>
      <c r="F32" s="8" t="n">
        <v>12000</v>
      </c>
      <c r="G32" s="10" t="n"/>
      <c r="H32" s="7" t="inlineStr">
        <is>
          <t>김현수</t>
        </is>
      </c>
      <c r="AB32">
        <f>E32*F32</f>
        <v/>
      </c>
    </row>
    <row r="33">
      <c r="A33" s="6" t="n">
        <v>46172</v>
      </c>
      <c r="B33" s="7" t="inlineStr">
        <is>
          <t>충청권</t>
        </is>
      </c>
      <c r="C33" s="7" t="inlineStr">
        <is>
          <t>동양산업</t>
        </is>
      </c>
      <c r="D33" s="7" t="inlineStr">
        <is>
          <t>감속기어</t>
        </is>
      </c>
      <c r="E33" s="8" t="n">
        <v>55</v>
      </c>
      <c r="F33" s="8" t="n">
        <v>45000</v>
      </c>
      <c r="G33" s="10" t="n"/>
      <c r="H33" s="7" t="inlineStr">
        <is>
          <t>박지훈</t>
        </is>
      </c>
      <c r="AB33">
        <f>E33*F33</f>
        <v/>
      </c>
    </row>
    <row r="34">
      <c r="A34" s="6" t="n">
        <v>46177</v>
      </c>
      <c r="B34" s="7" t="inlineStr">
        <is>
          <t>영남권</t>
        </is>
      </c>
      <c r="C34" s="7" t="inlineStr">
        <is>
          <t>대한정밀</t>
        </is>
      </c>
      <c r="D34" s="7" t="inlineStr">
        <is>
          <t>구동축</t>
        </is>
      </c>
      <c r="E34" s="8" t="n">
        <v>55</v>
      </c>
      <c r="F34" s="8" t="n">
        <v>78000</v>
      </c>
      <c r="G34" s="10" t="n"/>
      <c r="H34" s="7" t="inlineStr">
        <is>
          <t>이서연</t>
        </is>
      </c>
      <c r="AB34">
        <f>E34*F34</f>
        <v/>
      </c>
    </row>
    <row r="35">
      <c r="A35" s="6" t="n">
        <v>46182</v>
      </c>
      <c r="B35" s="7" t="inlineStr">
        <is>
          <t>호남권</t>
        </is>
      </c>
      <c r="C35" s="7" t="inlineStr">
        <is>
          <t>성일기공</t>
        </is>
      </c>
      <c r="D35" s="7" t="inlineStr">
        <is>
          <t>밸브블록</t>
        </is>
      </c>
      <c r="E35" s="8" t="n">
        <v>55</v>
      </c>
      <c r="F35" s="8" t="n">
        <v>33000</v>
      </c>
      <c r="G35" s="10" t="n"/>
      <c r="H35" s="7" t="inlineStr">
        <is>
          <t>최민재</t>
        </is>
      </c>
      <c r="AB35">
        <f>E35*F35</f>
        <v/>
      </c>
    </row>
    <row r="36">
      <c r="A36" s="6" t="n">
        <v>46187</v>
      </c>
      <c r="B36" s="7" t="inlineStr">
        <is>
          <t>수도권</t>
        </is>
      </c>
      <c r="C36" s="7" t="inlineStr">
        <is>
          <t>한빛모터스</t>
        </is>
      </c>
      <c r="D36" s="7" t="inlineStr">
        <is>
          <t>베어링유닛</t>
        </is>
      </c>
      <c r="E36" s="8" t="n">
        <v>40</v>
      </c>
      <c r="F36" s="8" t="n">
        <v>12000</v>
      </c>
      <c r="G36" s="10" t="n"/>
      <c r="H36" s="7" t="inlineStr">
        <is>
          <t>김현수</t>
        </is>
      </c>
      <c r="AB36">
        <f>E36*F36</f>
        <v/>
      </c>
    </row>
    <row r="37">
      <c r="A37" s="6" t="n">
        <v>46192</v>
      </c>
      <c r="B37" s="7" t="inlineStr">
        <is>
          <t>충청권</t>
        </is>
      </c>
      <c r="C37" s="7" t="inlineStr">
        <is>
          <t>제일오토</t>
        </is>
      </c>
      <c r="D37" s="7" t="inlineStr">
        <is>
          <t>감속기어</t>
        </is>
      </c>
      <c r="E37" s="8" t="n">
        <v>60</v>
      </c>
      <c r="F37" s="8" t="n">
        <v>45000</v>
      </c>
      <c r="G37" s="10" t="n"/>
      <c r="H37" s="7" t="inlineStr">
        <is>
          <t>박지훈</t>
        </is>
      </c>
      <c r="AB37">
        <f>E37*F37</f>
        <v/>
      </c>
    </row>
    <row r="38">
      <c r="A38" s="6" t="n">
        <v>46197</v>
      </c>
      <c r="B38" s="7" t="inlineStr">
        <is>
          <t>영남권</t>
        </is>
      </c>
      <c r="C38" s="7" t="inlineStr">
        <is>
          <t>세진테크</t>
        </is>
      </c>
      <c r="D38" s="7" t="inlineStr">
        <is>
          <t>구동축</t>
        </is>
      </c>
      <c r="E38" s="8" t="n">
        <v>55</v>
      </c>
      <c r="F38" s="8" t="n">
        <v>78000</v>
      </c>
      <c r="G38" s="10" t="n"/>
      <c r="H38" s="7" t="inlineStr">
        <is>
          <t>이서연</t>
        </is>
      </c>
      <c r="AB38">
        <f>E38*F38</f>
        <v/>
      </c>
    </row>
    <row r="39">
      <c r="A39" s="6" t="n">
        <v>46202</v>
      </c>
      <c r="B39" s="7" t="inlineStr">
        <is>
          <t>호남권</t>
        </is>
      </c>
      <c r="C39" s="7" t="inlineStr">
        <is>
          <t>동양산업</t>
        </is>
      </c>
      <c r="D39" s="7" t="inlineStr">
        <is>
          <t>밸브블록</t>
        </is>
      </c>
      <c r="E39" s="8" t="n">
        <v>35</v>
      </c>
      <c r="F39" s="8" t="n">
        <v>33000</v>
      </c>
      <c r="G39" s="10" t="n"/>
      <c r="H39" s="7" t="inlineStr">
        <is>
          <t>최민재</t>
        </is>
      </c>
      <c r="AB39">
        <f>E39*F39</f>
        <v/>
      </c>
    </row>
    <row r="40">
      <c r="A40" s="6" t="n">
        <v>46207</v>
      </c>
      <c r="B40" s="7" t="inlineStr">
        <is>
          <t>수도권</t>
        </is>
      </c>
      <c r="C40" s="7" t="inlineStr">
        <is>
          <t>대한정밀</t>
        </is>
      </c>
      <c r="D40" s="7" t="inlineStr">
        <is>
          <t>베어링유닛</t>
        </is>
      </c>
      <c r="E40" s="8" t="n">
        <v>120</v>
      </c>
      <c r="F40" s="8" t="n">
        <v>12000</v>
      </c>
      <c r="G40" s="10" t="n"/>
      <c r="H40" s="7" t="inlineStr">
        <is>
          <t>김현수</t>
        </is>
      </c>
      <c r="AB40">
        <f>E40*F40</f>
        <v/>
      </c>
    </row>
    <row r="41">
      <c r="A41" s="6" t="n">
        <v>46212</v>
      </c>
      <c r="B41" s="7" t="inlineStr">
        <is>
          <t>충청권</t>
        </is>
      </c>
      <c r="C41" s="7" t="inlineStr">
        <is>
          <t>성일기공</t>
        </is>
      </c>
      <c r="D41" s="7" t="inlineStr">
        <is>
          <t>감속기어</t>
        </is>
      </c>
      <c r="E41" s="8" t="n">
        <v>100</v>
      </c>
      <c r="F41" s="8" t="n">
        <v>45000</v>
      </c>
      <c r="G41" s="10" t="n"/>
      <c r="H41" s="7" t="inlineStr">
        <is>
          <t>박지훈</t>
        </is>
      </c>
      <c r="AB41">
        <f>E41*F41</f>
        <v/>
      </c>
    </row>
    <row r="42">
      <c r="A42" s="6" t="n">
        <v>46217</v>
      </c>
      <c r="B42" s="7" t="inlineStr">
        <is>
          <t>영남권</t>
        </is>
      </c>
      <c r="C42" s="7" t="inlineStr">
        <is>
          <t>한빛모터스</t>
        </is>
      </c>
      <c r="D42" s="7" t="inlineStr">
        <is>
          <t>구동축</t>
        </is>
      </c>
      <c r="E42" s="8" t="n">
        <v>120</v>
      </c>
      <c r="F42" s="8" t="n">
        <v>78000</v>
      </c>
      <c r="G42" s="10" t="n"/>
      <c r="H42" s="7" t="inlineStr">
        <is>
          <t>이서연</t>
        </is>
      </c>
      <c r="AB42">
        <f>E42*F42</f>
        <v/>
      </c>
    </row>
    <row r="43">
      <c r="A43" s="6" t="n">
        <v>46222</v>
      </c>
      <c r="B43" s="7" t="inlineStr">
        <is>
          <t>호남권</t>
        </is>
      </c>
      <c r="C43" s="7" t="inlineStr">
        <is>
          <t>제일오토</t>
        </is>
      </c>
      <c r="D43" s="7" t="inlineStr">
        <is>
          <t>밸브블록</t>
        </is>
      </c>
      <c r="E43" s="8" t="n">
        <v>60</v>
      </c>
      <c r="F43" s="8" t="n">
        <v>33000</v>
      </c>
      <c r="G43" s="10" t="n"/>
      <c r="H43" s="7" t="inlineStr">
        <is>
          <t>최민재</t>
        </is>
      </c>
      <c r="AB43">
        <f>E43*F43</f>
        <v/>
      </c>
    </row>
    <row r="44">
      <c r="A44" s="6" t="n">
        <v>46227</v>
      </c>
      <c r="B44" s="7" t="inlineStr">
        <is>
          <t>수도권</t>
        </is>
      </c>
      <c r="C44" s="7" t="inlineStr">
        <is>
          <t>세진테크</t>
        </is>
      </c>
      <c r="D44" s="7" t="inlineStr">
        <is>
          <t>베어링유닛</t>
        </is>
      </c>
      <c r="E44" s="8" t="n">
        <v>20</v>
      </c>
      <c r="F44" s="8" t="n">
        <v>12000</v>
      </c>
      <c r="G44" s="10" t="n"/>
      <c r="H44" s="7" t="inlineStr">
        <is>
          <t>김현수</t>
        </is>
      </c>
      <c r="AB44">
        <f>E44*F44</f>
        <v/>
      </c>
    </row>
    <row r="45">
      <c r="A45" s="6" t="n">
        <v>46232</v>
      </c>
      <c r="B45" s="7" t="inlineStr">
        <is>
          <t>충청권</t>
        </is>
      </c>
      <c r="C45" s="7" t="inlineStr">
        <is>
          <t>동양산업</t>
        </is>
      </c>
      <c r="D45" s="7" t="inlineStr">
        <is>
          <t>감속기어</t>
        </is>
      </c>
      <c r="E45" s="8" t="n">
        <v>55</v>
      </c>
      <c r="F45" s="8" t="n">
        <v>45000</v>
      </c>
      <c r="G45" s="10" t="n"/>
      <c r="H45" s="7" t="inlineStr">
        <is>
          <t>박지훈</t>
        </is>
      </c>
      <c r="AB45">
        <f>E45*F45</f>
        <v/>
      </c>
    </row>
    <row r="46">
      <c r="A46" s="6" t="n">
        <v>46237</v>
      </c>
      <c r="B46" s="7" t="inlineStr">
        <is>
          <t>영남권</t>
        </is>
      </c>
      <c r="C46" s="7" t="inlineStr">
        <is>
          <t>대한정밀</t>
        </is>
      </c>
      <c r="D46" s="7" t="inlineStr">
        <is>
          <t>구동축</t>
        </is>
      </c>
      <c r="E46" s="8" t="n">
        <v>35</v>
      </c>
      <c r="F46" s="8" t="n">
        <v>78000</v>
      </c>
      <c r="G46" s="10" t="n"/>
      <c r="H46" s="7" t="inlineStr">
        <is>
          <t>이서연</t>
        </is>
      </c>
      <c r="AB46">
        <f>E46*F46</f>
        <v/>
      </c>
    </row>
    <row r="47">
      <c r="A47" s="6" t="n">
        <v>46242</v>
      </c>
      <c r="B47" s="7" t="inlineStr">
        <is>
          <t>호남권</t>
        </is>
      </c>
      <c r="C47" s="7" t="inlineStr">
        <is>
          <t>성일기공</t>
        </is>
      </c>
      <c r="D47" s="7" t="inlineStr">
        <is>
          <t>밸브블록</t>
        </is>
      </c>
      <c r="E47" s="8" t="n">
        <v>40</v>
      </c>
      <c r="F47" s="8" t="n">
        <v>33000</v>
      </c>
      <c r="G47" s="10" t="n"/>
      <c r="H47" s="7" t="inlineStr">
        <is>
          <t>최민재</t>
        </is>
      </c>
      <c r="AB47">
        <f>E47*F47</f>
        <v/>
      </c>
    </row>
    <row r="48">
      <c r="A48" s="6" t="n">
        <v>46247</v>
      </c>
      <c r="B48" s="7" t="inlineStr">
        <is>
          <t>수도권</t>
        </is>
      </c>
      <c r="C48" s="7" t="inlineStr">
        <is>
          <t>한빛모터스</t>
        </is>
      </c>
      <c r="D48" s="7" t="inlineStr">
        <is>
          <t>베어링유닛</t>
        </is>
      </c>
      <c r="E48" s="8" t="n">
        <v>35</v>
      </c>
      <c r="F48" s="8" t="n">
        <v>12000</v>
      </c>
      <c r="G48" s="10" t="n"/>
      <c r="H48" s="7" t="inlineStr">
        <is>
          <t>김현수</t>
        </is>
      </c>
      <c r="AB48">
        <f>E48*F48</f>
        <v/>
      </c>
    </row>
    <row r="49">
      <c r="A49" s="6" t="n">
        <v>46252</v>
      </c>
      <c r="B49" s="7" t="inlineStr">
        <is>
          <t>충청권</t>
        </is>
      </c>
      <c r="C49" s="7" t="inlineStr">
        <is>
          <t>제일오토</t>
        </is>
      </c>
      <c r="D49" s="7" t="inlineStr">
        <is>
          <t>감속기어</t>
        </is>
      </c>
      <c r="E49" s="8" t="n">
        <v>20</v>
      </c>
      <c r="F49" s="8" t="n">
        <v>45000</v>
      </c>
      <c r="G49" s="10" t="n"/>
      <c r="H49" s="7" t="inlineStr">
        <is>
          <t>박지훈</t>
        </is>
      </c>
      <c r="AB49">
        <f>E49*F49</f>
        <v/>
      </c>
    </row>
    <row r="50">
      <c r="A50" s="6" t="n">
        <v>46257</v>
      </c>
      <c r="B50" s="7" t="inlineStr">
        <is>
          <t>영남권</t>
        </is>
      </c>
      <c r="C50" s="7" t="inlineStr">
        <is>
          <t>세진테크</t>
        </is>
      </c>
      <c r="D50" s="7" t="inlineStr">
        <is>
          <t>구동축</t>
        </is>
      </c>
      <c r="E50" s="8" t="n">
        <v>120</v>
      </c>
      <c r="F50" s="8" t="n">
        <v>78000</v>
      </c>
      <c r="G50" s="10" t="n"/>
      <c r="H50" s="7" t="inlineStr">
        <is>
          <t>이서연</t>
        </is>
      </c>
      <c r="AB50">
        <f>E50*F50</f>
        <v/>
      </c>
    </row>
    <row r="51">
      <c r="A51" s="6" t="n">
        <v>46262</v>
      </c>
      <c r="B51" s="7" t="inlineStr">
        <is>
          <t>호남권</t>
        </is>
      </c>
      <c r="C51" s="7" t="inlineStr">
        <is>
          <t>동양산업</t>
        </is>
      </c>
      <c r="D51" s="7" t="inlineStr">
        <is>
          <t>밸브블록</t>
        </is>
      </c>
      <c r="E51" s="8" t="n">
        <v>120</v>
      </c>
      <c r="F51" s="8" t="n">
        <v>33000</v>
      </c>
      <c r="G51" s="10" t="n"/>
      <c r="H51" s="7" t="inlineStr">
        <is>
          <t>최민재</t>
        </is>
      </c>
      <c r="AB51">
        <f>E51*F51</f>
        <v/>
      </c>
    </row>
    <row r="53">
      <c r="A53" s="11" t="inlineStr">
        <is>
          <t>금액 채점 →</t>
        </is>
      </c>
      <c r="G53" s="12">
        <f>SUMPRODUCT(--($G$4:$G$51=$AB$4:$AB$51))&amp;" / 48"</f>
        <v/>
      </c>
    </row>
    <row r="54" ht="30" customHeight="1">
      <c r="A54" s="13" t="inlineStr">
        <is>
          <t>G4 에 =E4*F4 를 만들고 G51 까지 끌어 내리면 48 / 48 이 됩니다.</t>
        </is>
      </c>
    </row>
    <row r="56" ht="26" customHeight="1">
      <c r="A56" s="14" t="inlineStr">
        <is>
          <t>■ 계산 문제 6개</t>
        </is>
      </c>
    </row>
    <row r="57" ht="26" customHeight="1">
      <c r="A57" s="5" t="inlineStr">
        <is>
          <t>번호 ▶ 넣을 칸</t>
        </is>
      </c>
      <c r="B57" s="5" t="inlineStr">
        <is>
          <t>문제 — 무엇을 구하나</t>
        </is>
      </c>
      <c r="C57" s="15" t="n"/>
      <c r="D57" s="16" t="n"/>
      <c r="E57" s="5" t="inlineStr">
        <is>
          <t>답</t>
        </is>
      </c>
      <c r="F57" s="5" t="inlineStr">
        <is>
          <t>채점</t>
        </is>
      </c>
      <c r="G57" s="5" t="inlineStr">
        <is>
          <t>힌트</t>
        </is>
      </c>
      <c r="H57" s="15" t="n"/>
      <c r="I57" s="15" t="n"/>
      <c r="J57" s="16" t="n"/>
    </row>
    <row r="58" ht="21" customHeight="1">
      <c r="A58" s="17" t="inlineStr">
        <is>
          <t xml:space="preserve">  피벗을 만들기 전에 값으로 확인해 보기 — ▶ 표시된 칸(E열)에</t>
        </is>
      </c>
    </row>
    <row r="59" ht="26" customHeight="1">
      <c r="A59" s="18" t="inlineStr">
        <is>
          <t>1  ▶E59</t>
        </is>
      </c>
      <c r="B59" s="19" t="inlineStr">
        <is>
          <t>전체 금액[G4:G51] 합계. (G열을 먼저 채우세요)</t>
        </is>
      </c>
      <c r="C59" s="20" t="n"/>
      <c r="D59" s="20" t="n"/>
      <c r="E59" s="9" t="n">
        <v>0</v>
      </c>
      <c r="F59" s="21">
        <f>IF(NOT(_xlfn.ISFORMULA(E59)),"↖ 0 지우고 수식",IF(IFERROR(ROUND(E59,4)=ROUND(AB59,4),E59=AB59),"✔ 맞음","✘ 다시"))</f>
        <v/>
      </c>
      <c r="G59" s="22" t="inlineStr">
        <is>
          <t>SUM</t>
        </is>
      </c>
      <c r="H59" s="20" t="n"/>
      <c r="I59" s="20" t="n"/>
      <c r="J59" s="20" t="n"/>
      <c r="AB59">
        <f>SUM(AB4:AB51)</f>
        <v/>
      </c>
    </row>
    <row r="60" ht="26" customHeight="1">
      <c r="A60" s="18" t="inlineStr">
        <is>
          <t>2  ▶E60</t>
        </is>
      </c>
      <c r="B60" s="19" t="inlineStr">
        <is>
          <t>'수도권' 의 수량 합계.</t>
        </is>
      </c>
      <c r="C60" s="20" t="n"/>
      <c r="D60" s="20" t="n"/>
      <c r="E60" s="23" t="n">
        <v>0</v>
      </c>
      <c r="F60" s="21">
        <f>IF(NOT(_xlfn.ISFORMULA(E60)),"↖ 0 지우고 수식",IF(IFERROR(ROUND(E60,4)=ROUND(AB60,4),E60=AB60),"✔ 맞음","✘ 다시"))</f>
        <v/>
      </c>
      <c r="G60" s="22" t="inlineStr">
        <is>
          <t>SUMIF · 지역은 B열</t>
        </is>
      </c>
      <c r="H60" s="20" t="n"/>
      <c r="I60" s="20" t="n"/>
      <c r="J60" s="20" t="n"/>
      <c r="AB60">
        <f>SUMIF($B$4:$B$51,"수도권",$E$4:$E$51)</f>
        <v/>
      </c>
    </row>
    <row r="61" ht="26" customHeight="1">
      <c r="A61" s="18" t="inlineStr">
        <is>
          <t>3  ▶E61</t>
        </is>
      </c>
      <c r="B61" s="19" t="inlineStr">
        <is>
          <t>'수도권' 이면서 제품이 '구동축' 인 건수.</t>
        </is>
      </c>
      <c r="C61" s="20" t="n"/>
      <c r="D61" s="20" t="n"/>
      <c r="E61" s="23" t="n">
        <v>0</v>
      </c>
      <c r="F61" s="21">
        <f>IF(NOT(_xlfn.ISFORMULA(E61)),"↖ 0 지우고 수식",IF(IFERROR(ROUND(E61,4)=ROUND(AB61,4),E61=AB61),"✔ 맞음","✘ 다시"))</f>
        <v/>
      </c>
      <c r="G61" s="22" t="inlineStr">
        <is>
          <t>COUNTIFS(범위1, 조건1, 범위2, 조건2)</t>
        </is>
      </c>
      <c r="H61" s="20" t="n"/>
      <c r="I61" s="20" t="n"/>
      <c r="J61" s="20" t="n"/>
      <c r="AB61">
        <f>COUNTIFS(B4:B51,"수도권",D4:D51,"구동축")</f>
        <v/>
      </c>
    </row>
    <row r="62" ht="26" customHeight="1">
      <c r="A62" s="18" t="inlineStr">
        <is>
          <t>4  ▶E62</t>
        </is>
      </c>
      <c r="B62" s="19" t="inlineStr">
        <is>
          <t>거래처가 '대한정밀' 인 줄의 평균 수량을 소수 첫째 자리까지.</t>
        </is>
      </c>
      <c r="C62" s="20" t="n"/>
      <c r="D62" s="20" t="n"/>
      <c r="E62" s="24" t="n">
        <v>0</v>
      </c>
      <c r="F62" s="21">
        <f>IF(NOT(_xlfn.ISFORMULA(E62)),"↖ 0 지우고 수식",IF(IFERROR(ROUND(E62,4)=ROUND(AB62,4),E62=AB62),"✔ 맞음","✘ 다시"))</f>
        <v/>
      </c>
      <c r="G62" s="22" t="inlineStr">
        <is>
          <t>AVERAGEIF 를 ROUND 로</t>
        </is>
      </c>
      <c r="H62" s="20" t="n"/>
      <c r="I62" s="20" t="n"/>
      <c r="J62" s="20" t="n"/>
      <c r="AB62">
        <f>ROUND(AVERAGEIF($C$4:$C$51,"대한정밀",$E$4:$E$51),1)</f>
        <v/>
      </c>
    </row>
    <row r="63" ht="26" customHeight="1">
      <c r="A63" s="18" t="inlineStr">
        <is>
          <t>5  ▶E63</t>
        </is>
      </c>
      <c r="B63" s="19" t="inlineStr">
        <is>
          <t>1분기(1~3월)에 출하된 건수.</t>
        </is>
      </c>
      <c r="C63" s="20" t="n"/>
      <c r="D63" s="20" t="n"/>
      <c r="E63" s="23" t="n">
        <v>0</v>
      </c>
      <c r="F63" s="21">
        <f>IF(NOT(_xlfn.ISFORMULA(E63)),"↖ 0 지우고 수식",IF(IFERROR(ROUND(E63,4)=ROUND(AB63,4),E63=AB63),"✔ 맞음","✘ 다시"))</f>
        <v/>
      </c>
      <c r="G63" s="22" t="inlineStr">
        <is>
          <t>MONTH 를 그대로 못 씁니다 — SUMPRODUCT 로</t>
        </is>
      </c>
      <c r="H63" s="20" t="n"/>
      <c r="I63" s="20" t="n"/>
      <c r="J63" s="20" t="n"/>
      <c r="AB63">
        <f>SUMPRODUCT((MONTH(A4:A51)&lt;=3)*1)</f>
        <v/>
      </c>
    </row>
    <row r="64" ht="26" customHeight="1">
      <c r="A64" s="18" t="inlineStr">
        <is>
          <t>6  ▶E64</t>
        </is>
      </c>
      <c r="B64" s="19" t="inlineStr">
        <is>
          <t>담당자별로 가장 많은 수량을 낸 한 건의 수량. (담당자 '김현수' 기준)</t>
        </is>
      </c>
      <c r="C64" s="20" t="n"/>
      <c r="D64" s="20" t="n"/>
      <c r="E64" s="23" t="n">
        <v>0</v>
      </c>
      <c r="F64" s="21">
        <f>IF(NOT(_xlfn.ISFORMULA(E64)),"↖ 0 지우고 수식",IF(IFERROR(ROUND(E64,4)=ROUND(AB64,4),E64=AB64),"✔ 맞음","✘ 다시"))</f>
        <v/>
      </c>
      <c r="G64" s="22" t="inlineStr">
        <is>
          <t>SUMPRODUCT(MAX((조건)*범위))</t>
        </is>
      </c>
      <c r="H64" s="20" t="n"/>
      <c r="I64" s="20" t="n"/>
      <c r="J64" s="20" t="n"/>
      <c r="AB64">
        <f>SUMPRODUCT(MAX((H4:H51="김현수")*E4:E51))</f>
        <v/>
      </c>
    </row>
  </sheetData>
  <mergeCells count="17">
    <mergeCell ref="G61:J61"/>
    <mergeCell ref="G62:J62"/>
    <mergeCell ref="G60:J60"/>
    <mergeCell ref="B59:D59"/>
    <mergeCell ref="B60:D60"/>
    <mergeCell ref="G64:J64"/>
    <mergeCell ref="A58:J58"/>
    <mergeCell ref="B61:D61"/>
    <mergeCell ref="B63:D63"/>
    <mergeCell ref="B57:D57"/>
    <mergeCell ref="A56:J56"/>
    <mergeCell ref="A54:H54"/>
    <mergeCell ref="G59:J59"/>
    <mergeCell ref="B62:D62"/>
    <mergeCell ref="G63:J63"/>
    <mergeCell ref="G57:J57"/>
    <mergeCell ref="B64:D64"/>
  </mergeCells>
  <conditionalFormatting sqref="G53">
    <cfRule type="expression" priority="1" dxfId="0">
      <formula>ISNUMBER(SEARCH("맞",G53))</formula>
    </cfRule>
    <cfRule type="expression" priority="2" dxfId="1">
      <formula>ISNUMBER(SEARCH("다시",G53))</formula>
    </cfRule>
  </conditionalFormatting>
  <conditionalFormatting sqref="F58:F64">
    <cfRule type="expression" priority="3" dxfId="0">
      <formula>ISNUMBER(SEARCH("맞",F58))</formula>
    </cfRule>
    <cfRule type="expression" priority="4" dxfId="1">
      <formula>ISNUMBER(SEARCH("다시",F58))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" customWidth="1" min="4" max="4"/>
    <col width="16" customWidth="1" min="5" max="5"/>
    <col width="12" customWidth="1" min="6" max="6"/>
    <col width="14" customWidth="1" min="7" max="7"/>
    <col width="3" customWidth="1" min="8" max="8"/>
    <col width="16" customWidth="1" min="9" max="9"/>
    <col width="12" customWidth="1" min="10" max="10"/>
    <col width="14" customWidth="1" min="11" max="11"/>
  </cols>
  <sheetData>
    <row r="1" ht="26" customHeight="1">
      <c r="A1" s="14" t="inlineStr">
        <is>
          <t>분기별 출하 요약 — [데이터 → 통합] 으로 합치기</t>
        </is>
      </c>
    </row>
    <row r="2" ht="30" customHeight="1">
      <c r="A2" s="13" t="inlineStr">
        <is>
          <t>제품 이름의 순서와 개수가 표마다 다릅니다. 그래서 '첫 행·왼쪽 열' 을 기준으로 통합해야 합니다.</t>
        </is>
      </c>
    </row>
    <row r="4">
      <c r="A4" s="25" t="inlineStr">
        <is>
          <t>1분기 (A5:C9)</t>
        </is>
      </c>
      <c r="E4" s="25" t="inlineStr">
        <is>
          <t>2분기 (E5:G8)</t>
        </is>
      </c>
      <c r="I4" s="25" t="inlineStr">
        <is>
          <t>3분기 (I5:K9)</t>
        </is>
      </c>
    </row>
    <row r="5" ht="24" customHeight="1">
      <c r="A5" s="5" t="inlineStr">
        <is>
          <t>제품</t>
        </is>
      </c>
      <c r="B5" s="5" t="inlineStr">
        <is>
          <t>수량</t>
        </is>
      </c>
      <c r="C5" s="5" t="inlineStr">
        <is>
          <t>금액</t>
        </is>
      </c>
      <c r="E5" s="5" t="inlineStr">
        <is>
          <t>제품</t>
        </is>
      </c>
      <c r="F5" s="5" t="inlineStr">
        <is>
          <t>수량</t>
        </is>
      </c>
      <c r="G5" s="5" t="inlineStr">
        <is>
          <t>금액</t>
        </is>
      </c>
      <c r="I5" s="5" t="inlineStr">
        <is>
          <t>제품</t>
        </is>
      </c>
      <c r="J5" s="5" t="inlineStr">
        <is>
          <t>수량</t>
        </is>
      </c>
      <c r="K5" s="5" t="inlineStr">
        <is>
          <t>금액</t>
        </is>
      </c>
    </row>
    <row r="6">
      <c r="A6" s="26" t="inlineStr">
        <is>
          <t>베어링유닛</t>
        </is>
      </c>
      <c r="B6" s="8" t="n">
        <v>320</v>
      </c>
      <c r="C6" s="8" t="n">
        <v>3840000</v>
      </c>
      <c r="E6" s="26" t="inlineStr">
        <is>
          <t>감속기어</t>
        </is>
      </c>
      <c r="F6" s="8" t="n">
        <v>205</v>
      </c>
      <c r="G6" s="8" t="n">
        <v>9225000</v>
      </c>
      <c r="I6" s="26" t="inlineStr">
        <is>
          <t>구동축</t>
        </is>
      </c>
      <c r="J6" s="8" t="n">
        <v>120</v>
      </c>
      <c r="K6" s="8" t="n">
        <v>9360000</v>
      </c>
    </row>
    <row r="7">
      <c r="A7" s="26" t="inlineStr">
        <is>
          <t>감속기어</t>
        </is>
      </c>
      <c r="B7" s="8" t="n">
        <v>180</v>
      </c>
      <c r="C7" s="8" t="n">
        <v>8100000</v>
      </c>
      <c r="E7" s="26" t="inlineStr">
        <is>
          <t>베어링유닛</t>
        </is>
      </c>
      <c r="F7" s="8" t="n">
        <v>410</v>
      </c>
      <c r="G7" s="8" t="n">
        <v>4920000</v>
      </c>
      <c r="I7" s="26" t="inlineStr">
        <is>
          <t>밸브블록</t>
        </is>
      </c>
      <c r="J7" s="8" t="n">
        <v>240</v>
      </c>
      <c r="K7" s="8" t="n">
        <v>7920000</v>
      </c>
    </row>
    <row r="8">
      <c r="A8" s="26" t="inlineStr">
        <is>
          <t>구동축</t>
        </is>
      </c>
      <c r="B8" s="8" t="n">
        <v>95</v>
      </c>
      <c r="C8" s="8" t="n">
        <v>7410000</v>
      </c>
      <c r="E8" s="26" t="inlineStr">
        <is>
          <t>밸브블록</t>
        </is>
      </c>
      <c r="F8" s="8" t="n">
        <v>165</v>
      </c>
      <c r="G8" s="8" t="n">
        <v>5445000</v>
      </c>
      <c r="I8" s="26" t="inlineStr">
        <is>
          <t>베어링유닛</t>
        </is>
      </c>
      <c r="J8" s="8" t="n">
        <v>275</v>
      </c>
      <c r="K8" s="8" t="n">
        <v>3300000</v>
      </c>
    </row>
    <row r="9">
      <c r="A9" s="26" t="inlineStr">
        <is>
          <t>밸브블록</t>
        </is>
      </c>
      <c r="B9" s="8" t="n">
        <v>210</v>
      </c>
      <c r="C9" s="8" t="n">
        <v>6930000</v>
      </c>
      <c r="I9" s="26" t="inlineStr">
        <is>
          <t>감속기어</t>
        </is>
      </c>
      <c r="J9" s="8" t="n">
        <v>190</v>
      </c>
      <c r="K9" s="8" t="n">
        <v>8550000</v>
      </c>
    </row>
    <row r="12">
      <c r="A12" s="27" t="inlineStr">
        <is>
          <t>→ 통합 결과를 A15 부터 만드세요. (함수 : 합계 / 사용할 레이블 : 첫 행·왼쪽 열 모두 체크)</t>
        </is>
      </c>
    </row>
  </sheetData>
  <mergeCells count="2">
    <mergeCell ref="A2:K2"/>
    <mergeCell ref="A1:K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56" customWidth="1" min="8" max="8"/>
  </cols>
  <sheetData>
    <row r="1" ht="26" customHeight="1">
      <c r="A1" s="14" t="inlineStr">
        <is>
          <t>데이터 표(가상 분석) — 값을 여러 개 넣어 결과를 한꺼번에 보기</t>
        </is>
      </c>
    </row>
    <row r="2" ht="30" customHeight="1">
      <c r="A2" s="13" t="inlineStr">
        <is>
          <t>손익 모형입니다. 파란 칸은 입력값, 초록 칸은 수식입니다.</t>
        </is>
      </c>
    </row>
    <row r="4">
      <c r="A4" s="28" t="inlineStr">
        <is>
          <t>판매수량(개)</t>
        </is>
      </c>
      <c r="B4" s="29" t="n">
        <v>800</v>
      </c>
    </row>
    <row r="5">
      <c r="A5" s="28" t="inlineStr">
        <is>
          <t>판매단가(원)</t>
        </is>
      </c>
      <c r="B5" s="29" t="n">
        <v>45000</v>
      </c>
    </row>
    <row r="6">
      <c r="A6" s="28" t="inlineStr">
        <is>
          <t>개당 변동비(원)</t>
        </is>
      </c>
      <c r="B6" s="29" t="n">
        <v>28000</v>
      </c>
    </row>
    <row r="7">
      <c r="A7" s="28" t="inlineStr">
        <is>
          <t>고정비(원)</t>
        </is>
      </c>
      <c r="B7" s="29" t="n">
        <v>9000000</v>
      </c>
    </row>
    <row r="9">
      <c r="A9" s="30" t="inlineStr">
        <is>
          <t>영업이익(원)</t>
        </is>
      </c>
      <c r="B9" s="31">
        <f>B4*(B5-B6)-B7</f>
        <v/>
      </c>
    </row>
    <row r="12" ht="26" customHeight="1">
      <c r="A12" s="32" t="inlineStr">
        <is>
          <t>1변수 데이터 표 — 판매수량이 바뀌면 영업이익은? (A13:B19)</t>
        </is>
      </c>
    </row>
    <row r="13">
      <c r="A13" s="33" t="inlineStr">
        <is>
          <t>판매수량</t>
        </is>
      </c>
      <c r="B13" s="33" t="inlineStr">
        <is>
          <t>영업이익</t>
        </is>
      </c>
      <c r="H13" s="34" t="inlineStr">
        <is>
          <t>① B13 에 =B9 를 넣고  ② A13:B19 를 잡은 뒤  ③ 데이터 → 가상 분석 → 데이터 표</t>
        </is>
      </c>
    </row>
    <row r="14">
      <c r="A14" s="35" t="n">
        <v>400</v>
      </c>
      <c r="B14" s="36" t="n"/>
      <c r="H14" s="34" t="inlineStr">
        <is>
          <t>④ '열 입력 셀' 에 $B$4 (수량이 세로로 놓였으므로 '열')</t>
        </is>
      </c>
    </row>
    <row r="15">
      <c r="A15" s="35" t="n">
        <v>600</v>
      </c>
      <c r="B15" s="36" t="n"/>
    </row>
    <row r="16">
      <c r="A16" s="35" t="n">
        <v>800</v>
      </c>
      <c r="B16" s="36" t="n"/>
    </row>
    <row r="17">
      <c r="A17" s="35" t="n">
        <v>1000</v>
      </c>
      <c r="B17" s="36" t="n"/>
    </row>
    <row r="18">
      <c r="A18" s="35" t="n">
        <v>1200</v>
      </c>
      <c r="B18" s="36" t="n"/>
    </row>
    <row r="19">
      <c r="A19" s="35" t="n">
        <v>1400</v>
      </c>
      <c r="B19" s="36" t="n"/>
    </row>
    <row r="21" ht="26" customHeight="1">
      <c r="A21" s="32" t="inlineStr">
        <is>
          <t>2변수 데이터 표 — 수량 × 단가 (A22:F27)</t>
        </is>
      </c>
    </row>
    <row r="22">
      <c r="A22" s="33" t="n"/>
      <c r="B22" s="33" t="n">
        <v>40000</v>
      </c>
      <c r="C22" s="33" t="n">
        <v>43000</v>
      </c>
      <c r="D22" s="33" t="n">
        <v>45000</v>
      </c>
      <c r="E22" s="33" t="n">
        <v>48000</v>
      </c>
      <c r="F22" s="33" t="n">
        <v>52000</v>
      </c>
      <c r="H22" s="34" t="inlineStr">
        <is>
          <t>① 왼쪽 위 모서리 A22 에 =B9  ② A22:F27 선택  ③ 행 입력 셀 $B$5, 열 입력 셀 $B$4</t>
        </is>
      </c>
    </row>
    <row r="23">
      <c r="A23" s="35" t="n">
        <v>400</v>
      </c>
      <c r="B23" s="36" t="n"/>
      <c r="C23" s="36" t="n"/>
      <c r="D23" s="36" t="n"/>
      <c r="E23" s="36" t="n"/>
      <c r="F23" s="36" t="n"/>
    </row>
    <row r="24">
      <c r="A24" s="35" t="n">
        <v>600</v>
      </c>
      <c r="B24" s="36" t="n"/>
      <c r="C24" s="36" t="n"/>
      <c r="D24" s="36" t="n"/>
      <c r="E24" s="36" t="n"/>
      <c r="F24" s="36" t="n"/>
    </row>
    <row r="25">
      <c r="A25" s="35" t="n">
        <v>800</v>
      </c>
      <c r="B25" s="36" t="n"/>
      <c r="C25" s="36" t="n"/>
      <c r="D25" s="36" t="n"/>
      <c r="E25" s="36" t="n"/>
      <c r="F25" s="36" t="n"/>
    </row>
    <row r="26">
      <c r="A26" s="35" t="n">
        <v>1000</v>
      </c>
      <c r="B26" s="36" t="n"/>
      <c r="C26" s="36" t="n"/>
      <c r="D26" s="36" t="n"/>
      <c r="E26" s="36" t="n"/>
      <c r="F26" s="36" t="n"/>
    </row>
    <row r="27">
      <c r="A27" s="35" t="n">
        <v>1200</v>
      </c>
      <c r="B27" s="36" t="n"/>
      <c r="C27" s="36" t="n"/>
      <c r="D27" s="36" t="n"/>
      <c r="E27" s="36" t="n"/>
      <c r="F27" s="36" t="n"/>
    </row>
  </sheetData>
  <mergeCells count="4">
    <mergeCell ref="A2:F2"/>
    <mergeCell ref="A21:F21"/>
    <mergeCell ref="A1:F1"/>
    <mergeCell ref="A12:F1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7" customWidth="1" min="3" max="3"/>
    <col width="42" customWidth="1" min="4" max="4"/>
  </cols>
  <sheetData>
    <row r="1" ht="26" customHeight="1">
      <c r="A1" s="14" t="inlineStr">
        <is>
          <t>1급 ② 분석작업 미션 14가지</t>
        </is>
      </c>
    </row>
    <row r="2" ht="30" customHeight="1">
      <c r="A2" s="13" t="inlineStr">
        <is>
          <t>다 한 미션은 □ 칸에 v 를 쳐 두세요. 어떻게 하는지는 [따라하기] 시트에 있습니다.</t>
        </is>
      </c>
    </row>
    <row r="4" ht="24" customHeight="1">
      <c r="A4" s="5" t="inlineStr">
        <is>
          <t>번호</t>
        </is>
      </c>
      <c r="B4" s="5" t="inlineStr">
        <is>
          <t>미션 — 무엇을 하는가</t>
        </is>
      </c>
      <c r="C4" s="5" t="inlineStr">
        <is>
          <t>다 함</t>
        </is>
      </c>
      <c r="D4" s="5" t="inlineStr">
        <is>
          <t>어디서 (메뉴)</t>
        </is>
      </c>
    </row>
    <row r="5" ht="30" customHeight="1">
      <c r="A5" s="7" t="n">
        <v>1</v>
      </c>
      <c r="B5" s="37" t="inlineStr">
        <is>
          <t>[출하실적 G4] 금액을 =E4*F4 로 만들고 G51 까지 채우기.</t>
        </is>
      </c>
      <c r="C5" s="38" t="inlineStr">
        <is>
          <t>□</t>
        </is>
      </c>
      <c r="D5" s="22" t="inlineStr">
        <is>
          <t>채우기 핸들 두 번 클릭</t>
        </is>
      </c>
    </row>
    <row r="6" ht="30" customHeight="1">
      <c r="A6" s="7" t="n">
        <v>2</v>
      </c>
      <c r="B6" s="37" t="inlineStr">
        <is>
          <t>[출하실적] 새 시트에 피벗 — 행 지역, 열 제품, 값 금액 합계.</t>
        </is>
      </c>
      <c r="C6" s="38" t="inlineStr">
        <is>
          <t>□</t>
        </is>
      </c>
      <c r="D6" s="22" t="inlineStr">
        <is>
          <t>삽입 → 피벗 테이블</t>
        </is>
      </c>
    </row>
    <row r="7" ht="30" customHeight="1">
      <c r="A7" s="7" t="n">
        <v>3</v>
      </c>
      <c r="B7" s="37" t="inlineStr">
        <is>
          <t>[출하실적] 피벗에서 출하일을 '분기' 로 그룹화해 행에 넣기.</t>
        </is>
      </c>
      <c r="C7" s="38" t="inlineStr">
        <is>
          <t>□</t>
        </is>
      </c>
      <c r="D7" s="22" t="inlineStr">
        <is>
          <t>날짜 오른쪽 클릭 → 그룹</t>
        </is>
      </c>
    </row>
    <row r="8" ht="30" customHeight="1">
      <c r="A8" s="7" t="n">
        <v>4</v>
      </c>
      <c r="B8" s="37" t="inlineStr">
        <is>
          <t>[출하실적] 피벗에 '개당단가' 계산 필드 만들기 (금액÷수량).</t>
        </is>
      </c>
      <c r="C8" s="38" t="inlineStr">
        <is>
          <t>□</t>
        </is>
      </c>
      <c r="D8" s="22" t="inlineStr">
        <is>
          <t>피벗 분석 → 필드·항목 및 집합</t>
        </is>
      </c>
    </row>
    <row r="9" ht="30" customHeight="1">
      <c r="A9" s="7" t="n">
        <v>5</v>
      </c>
      <c r="B9" s="37" t="inlineStr">
        <is>
          <t>[출하실적] 금액을 '열 합계 비율(%)' 로 보이게 바꾸기.</t>
        </is>
      </c>
      <c r="C9" s="38" t="inlineStr">
        <is>
          <t>□</t>
        </is>
      </c>
      <c r="D9" s="22" t="inlineStr">
        <is>
          <t>값 필드 설정 → 값 표시 형식</t>
        </is>
      </c>
    </row>
    <row r="10" ht="30" customHeight="1">
      <c r="A10" s="7" t="n">
        <v>6</v>
      </c>
      <c r="B10" s="37" t="inlineStr">
        <is>
          <t>[출하실적] 피벗에 담당자를 보고서 필터로 넣기.</t>
        </is>
      </c>
      <c r="C10" s="38" t="inlineStr">
        <is>
          <t>□</t>
        </is>
      </c>
      <c r="D10" s="22" t="inlineStr">
        <is>
          <t>필드를 [필터] 로 끌기</t>
        </is>
      </c>
    </row>
    <row r="11" ht="30" customHeight="1">
      <c r="A11" s="7" t="n">
        <v>7</v>
      </c>
      <c r="B11" s="37" t="inlineStr">
        <is>
          <t>[출하실적] 피벗에 슬라이서(지역) 넣기.</t>
        </is>
      </c>
      <c r="C11" s="38" t="inlineStr">
        <is>
          <t>□</t>
        </is>
      </c>
      <c r="D11" s="22" t="inlineStr">
        <is>
          <t>피벗 분석 → 슬라이서 삽입</t>
        </is>
      </c>
    </row>
    <row r="12" ht="30" customHeight="1">
      <c r="A12" s="7" t="n">
        <v>8</v>
      </c>
      <c r="B12" s="37" t="inlineStr">
        <is>
          <t>[출하실적] 담당자 오름차순 + 금액 내림차순 정렬.</t>
        </is>
      </c>
      <c r="C12" s="38" t="inlineStr">
        <is>
          <t>□</t>
        </is>
      </c>
      <c r="D12" s="22" t="inlineStr">
        <is>
          <t>데이터 → 정렬 → 기준 추가</t>
        </is>
      </c>
    </row>
    <row r="13" ht="30" customHeight="1">
      <c r="A13" s="7" t="n">
        <v>9</v>
      </c>
      <c r="B13" s="37" t="inlineStr">
        <is>
          <t>[출하실적] 거래처+제품 이 겹치는 중복 행 제거.</t>
        </is>
      </c>
      <c r="C13" s="38" t="inlineStr">
        <is>
          <t>□</t>
        </is>
      </c>
      <c r="D13" s="22" t="inlineStr">
        <is>
          <t>데이터 → 중복된 항목 제거</t>
        </is>
      </c>
    </row>
    <row r="14" ht="30" customHeight="1">
      <c r="A14" s="7" t="n">
        <v>10</v>
      </c>
      <c r="B14" s="37" t="inlineStr">
        <is>
          <t>[출하실적] 거래처별 금액 합계 부분합 (정렬 먼저).</t>
        </is>
      </c>
      <c r="C14" s="38" t="inlineStr">
        <is>
          <t>□</t>
        </is>
      </c>
      <c r="D14" s="22" t="inlineStr">
        <is>
          <t>데이터 → 부분합</t>
        </is>
      </c>
    </row>
    <row r="15" ht="30" customHeight="1">
      <c r="A15" s="7" t="n">
        <v>11</v>
      </c>
      <c r="B15" s="37" t="inlineStr">
        <is>
          <t>[통합대상] 세 분기 표를 제품 기준으로 A15 부터 통합.</t>
        </is>
      </c>
      <c r="C15" s="38" t="inlineStr">
        <is>
          <t>□</t>
        </is>
      </c>
      <c r="D15" s="22" t="inlineStr">
        <is>
          <t>데이터 → 통합</t>
        </is>
      </c>
    </row>
    <row r="16" ht="30" customHeight="1">
      <c r="A16" s="7" t="n">
        <v>12</v>
      </c>
      <c r="B16" s="37" t="inlineStr">
        <is>
          <t>[데이터표] 1변수 데이터 표 완성.</t>
        </is>
      </c>
      <c r="C16" s="38" t="inlineStr">
        <is>
          <t>□</t>
        </is>
      </c>
      <c r="D16" s="22" t="inlineStr">
        <is>
          <t>열 입력 셀 $B$4</t>
        </is>
      </c>
    </row>
    <row r="17" ht="30" customHeight="1">
      <c r="A17" s="7" t="n">
        <v>13</v>
      </c>
      <c r="B17" s="37" t="inlineStr">
        <is>
          <t>[데이터표] 2변수 데이터 표 완성.</t>
        </is>
      </c>
      <c r="C17" s="38" t="inlineStr">
        <is>
          <t>□</t>
        </is>
      </c>
      <c r="D17" s="22" t="inlineStr">
        <is>
          <t>행 $B$5 · 열 $B$4</t>
        </is>
      </c>
    </row>
    <row r="18" ht="30" customHeight="1">
      <c r="A18" s="7" t="n">
        <v>14</v>
      </c>
      <c r="B18" s="37" t="inlineStr">
        <is>
          <t>[데이터표] 영업이익이 0 이 되는 판매수량 구하기 (손익분기점).</t>
        </is>
      </c>
      <c r="C18" s="38" t="inlineStr">
        <is>
          <t>□</t>
        </is>
      </c>
      <c r="D18" s="22" t="inlineStr">
        <is>
          <t>목표값 찾기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9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62" customWidth="1" min="2" max="2"/>
    <col width="50" customWidth="1" min="3" max="3"/>
  </cols>
  <sheetData>
    <row r="1" ht="26" customHeight="1">
      <c r="A1" s="14" t="inlineStr">
        <is>
          <t>1급 ② 분석작업 — 단계별로 따라 하기</t>
        </is>
      </c>
    </row>
    <row r="2" ht="30" customHeight="1">
      <c r="A2" s="13" t="inlineStr">
        <is>
          <t>1급 분석작업은 메뉴 위치와 체크박스 하나에서 점수가 갈립니다. 순서대로 한 번씩 해 보세요.</t>
        </is>
      </c>
    </row>
    <row r="4" ht="24" customHeight="1">
      <c r="A4" s="39" t="inlineStr">
        <is>
          <t xml:space="preserve">  미션 1 · 금액 채우기</t>
        </is>
      </c>
    </row>
    <row r="5" ht="20" customHeight="1">
      <c r="A5" s="40" t="inlineStr">
        <is>
          <t>어디서</t>
        </is>
      </c>
      <c r="B5" s="41" t="inlineStr">
        <is>
          <t>[출하실적] G4 → G51</t>
        </is>
      </c>
    </row>
    <row r="6" ht="28" customHeight="1">
      <c r="A6" s="42" t="inlineStr">
        <is>
          <t>1단계</t>
        </is>
      </c>
      <c r="B6" s="19" t="inlineStr">
        <is>
          <t>G4 의 0 을 지우고  =E4*F4  를 넣습니다.</t>
        </is>
      </c>
      <c r="C6" s="22" t="inlineStr">
        <is>
          <t>수량 × 단가</t>
        </is>
      </c>
    </row>
    <row r="7" ht="28" customHeight="1">
      <c r="A7" s="42" t="inlineStr">
        <is>
          <t>2단계</t>
        </is>
      </c>
      <c r="B7" s="19" t="inlineStr">
        <is>
          <t>G4 오른쪽 아래 네모를 두 번 클릭합니다.</t>
        </is>
      </c>
      <c r="C7" s="22" t="inlineStr">
        <is>
          <t>51행까지 한 번에 채워집니다</t>
        </is>
      </c>
    </row>
    <row r="8" ht="28" customHeight="1">
      <c r="A8" s="42" t="inlineStr">
        <is>
          <t>3단계</t>
        </is>
      </c>
      <c r="B8" s="19" t="inlineStr">
        <is>
          <t>표 아래 [금액 채점] 이 48 / 48 인지 봅니다.</t>
        </is>
      </c>
      <c r="C8" s="22" t="inlineStr"/>
    </row>
    <row r="9" ht="26" customHeight="1">
      <c r="A9" s="43" t="inlineStr">
        <is>
          <t>확인</t>
        </is>
      </c>
      <c r="B9" s="44" t="inlineStr">
        <is>
          <t>이렇게 되면 성공 — G열이 모두 채워집니다</t>
        </is>
      </c>
    </row>
    <row r="11" ht="24" customHeight="1">
      <c r="A11" s="39" t="inlineStr">
        <is>
          <t xml:space="preserve">  미션 2 · 피벗 테이블 만들기</t>
        </is>
      </c>
    </row>
    <row r="12" ht="20" customHeight="1">
      <c r="A12" s="40" t="inlineStr">
        <is>
          <t>어디서</t>
        </is>
      </c>
      <c r="B12" s="41" t="inlineStr">
        <is>
          <t>[출하실적] 삽입 → 피벗 테이블</t>
        </is>
      </c>
    </row>
    <row r="13" ht="28" customHeight="1">
      <c r="A13" s="42" t="inlineStr">
        <is>
          <t>1단계</t>
        </is>
      </c>
      <c r="B13" s="19" t="inlineStr">
        <is>
          <t>표 안의 아무 칸을 클릭하고 삽입 → 피벗 테이블 → 확인.</t>
        </is>
      </c>
      <c r="C13" s="22" t="inlineStr">
        <is>
          <t>범위는 저절로 잡힙니다</t>
        </is>
      </c>
    </row>
    <row r="14" ht="28" customHeight="1">
      <c r="A14" s="42" t="inlineStr">
        <is>
          <t>2단계</t>
        </is>
      </c>
      <c r="B14" s="19" t="inlineStr">
        <is>
          <t>오른쪽 필드 목록에서 지역 을 [행] 으로 끕니다.</t>
        </is>
      </c>
      <c r="C14" s="22" t="inlineStr"/>
    </row>
    <row r="15" ht="28" customHeight="1">
      <c r="A15" s="42" t="inlineStr">
        <is>
          <t>3단계</t>
        </is>
      </c>
      <c r="B15" s="19" t="inlineStr">
        <is>
          <t>제품 을 [열] 로, 금액 을 [값] 으로 끕니다.</t>
        </is>
      </c>
      <c r="C15" s="22" t="inlineStr">
        <is>
          <t>숫자는 자동으로 합계가 됩니다</t>
        </is>
      </c>
    </row>
    <row r="16" ht="28" customHeight="1">
      <c r="A16" s="42" t="inlineStr">
        <is>
          <t>4단계</t>
        </is>
      </c>
      <c r="B16" s="19" t="inlineStr">
        <is>
          <t>값 영역에서 오른쪽 클릭 → 값 필드 설정 → 표시 형식 → 쉼표.</t>
        </is>
      </c>
      <c r="C16" s="22" t="inlineStr"/>
    </row>
    <row r="17" ht="26" customHeight="1">
      <c r="A17" s="43" t="inlineStr">
        <is>
          <t>확인</t>
        </is>
      </c>
      <c r="B17" s="44" t="inlineStr">
        <is>
          <t>이렇게 되면 성공 — 지역 × 제품 의 금액 표가 만들어집니다</t>
        </is>
      </c>
    </row>
    <row r="19" ht="24" customHeight="1">
      <c r="A19" s="39" t="inlineStr">
        <is>
          <t xml:space="preserve">  미션 3 · 날짜를 분기로 그룹화</t>
        </is>
      </c>
    </row>
    <row r="20" ht="20" customHeight="1">
      <c r="A20" s="40" t="inlineStr">
        <is>
          <t>어디서</t>
        </is>
      </c>
      <c r="B20" s="41" t="inlineStr">
        <is>
          <t>피벗 안의 날짜 필드</t>
        </is>
      </c>
    </row>
    <row r="21" ht="28" customHeight="1">
      <c r="A21" s="42" t="inlineStr">
        <is>
          <t>1단계</t>
        </is>
      </c>
      <c r="B21" s="19" t="inlineStr">
        <is>
          <t>출하일 을 [행] 으로 끌어 놓습니다.</t>
        </is>
      </c>
      <c r="C21" s="22" t="inlineStr">
        <is>
          <t>날짜가 하루씩 나열됩니다</t>
        </is>
      </c>
    </row>
    <row r="22" ht="28" customHeight="1">
      <c r="A22" s="42" t="inlineStr">
        <is>
          <t>2단계</t>
        </is>
      </c>
      <c r="B22" s="19" t="inlineStr">
        <is>
          <t>피벗 안의 날짜 셀 하나를 오른쪽 클릭 → [그룹].</t>
        </is>
      </c>
      <c r="C22" s="22" t="inlineStr"/>
    </row>
    <row r="23" ht="28" customHeight="1">
      <c r="A23" s="42" t="inlineStr">
        <is>
          <t>3단계</t>
        </is>
      </c>
      <c r="B23" s="19" t="inlineStr">
        <is>
          <t>[분기] 를 고릅니다. (월도 함께 고르면 계층이 생깁니다)</t>
        </is>
      </c>
      <c r="C23" s="22" t="inlineStr">
        <is>
          <t>확인</t>
        </is>
      </c>
    </row>
    <row r="24" ht="28" customHeight="1">
      <c r="A24" s="42" t="inlineStr">
        <is>
          <t>4단계</t>
        </is>
      </c>
      <c r="B24" s="19" t="inlineStr">
        <is>
          <t>행 영역에서 분기와 지역의 순서를 끌어 바꿔 봅니다.</t>
        </is>
      </c>
      <c r="C24" s="22" t="inlineStr">
        <is>
          <t>위에 있는 것이 바깥 묶음이 됩니다</t>
        </is>
      </c>
    </row>
    <row r="25" ht="26" customHeight="1">
      <c r="A25" s="43" t="inlineStr">
        <is>
          <t>확인</t>
        </is>
      </c>
      <c r="B25" s="44" t="inlineStr">
        <is>
          <t>이렇게 되면 성공 — 1분기·2분기… 로 묶여 나옵니다</t>
        </is>
      </c>
    </row>
    <row r="27" ht="24" customHeight="1">
      <c r="A27" s="39" t="inlineStr">
        <is>
          <t xml:space="preserve">  미션 4 · 계산 필드 만들기</t>
        </is>
      </c>
    </row>
    <row r="28" ht="20" customHeight="1">
      <c r="A28" s="40" t="inlineStr">
        <is>
          <t>어디서</t>
        </is>
      </c>
      <c r="B28" s="41" t="inlineStr">
        <is>
          <t>피벗 분석 → 필드, 항목 및 집합</t>
        </is>
      </c>
    </row>
    <row r="29" ht="28" customHeight="1">
      <c r="A29" s="42" t="inlineStr">
        <is>
          <t>1단계</t>
        </is>
      </c>
      <c r="B29" s="19" t="inlineStr">
        <is>
          <t>피벗 안을 클릭하고 [피벗 테이블 분석] 탭을 엽니다.</t>
        </is>
      </c>
      <c r="C29" s="22" t="inlineStr">
        <is>
          <t>리본 맨 오른쪽 그룹</t>
        </is>
      </c>
    </row>
    <row r="30" ht="28" customHeight="1">
      <c r="A30" s="42" t="inlineStr">
        <is>
          <t>2단계</t>
        </is>
      </c>
      <c r="B30" s="19" t="inlineStr">
        <is>
          <t>[필드, 항목 및 집합] → [계산 필드].</t>
        </is>
      </c>
      <c r="C30" s="22" t="inlineStr"/>
    </row>
    <row r="31" ht="28" customHeight="1">
      <c r="A31" s="42" t="inlineStr">
        <is>
          <t>3단계</t>
        </is>
      </c>
      <c r="B31" s="19" t="inlineStr">
        <is>
          <t>이름에  개당단가 , 수식에  =금액/수량  을 넣습니다.</t>
        </is>
      </c>
      <c r="C31" s="22" t="inlineStr">
        <is>
          <t>필드 이름은 아래 목록에서 더블클릭해 넣으면 오타가 없습니다</t>
        </is>
      </c>
    </row>
    <row r="32" ht="28" customHeight="1">
      <c r="A32" s="42" t="inlineStr">
        <is>
          <t>4단계</t>
        </is>
      </c>
      <c r="B32" s="19" t="inlineStr">
        <is>
          <t>[추가] → 확인.</t>
        </is>
      </c>
      <c r="C32" s="22" t="inlineStr">
        <is>
          <t>★ 원본 표를 건드리지 않고 피벗 안에서만 새 열이 생깁니다</t>
        </is>
      </c>
    </row>
    <row r="33" ht="26" customHeight="1">
      <c r="A33" s="43" t="inlineStr">
        <is>
          <t>확인</t>
        </is>
      </c>
      <c r="B33" s="44" t="inlineStr">
        <is>
          <t>이렇게 되면 성공 — 값 영역에 '합계: 개당단가' 가 나타납니다</t>
        </is>
      </c>
    </row>
    <row r="35" ht="24" customHeight="1">
      <c r="A35" s="39" t="inlineStr">
        <is>
          <t xml:space="preserve">  미션 5 · 값 표시 형식 — 비율로 보기</t>
        </is>
      </c>
    </row>
    <row r="36" ht="20" customHeight="1">
      <c r="A36" s="40" t="inlineStr">
        <is>
          <t>어디서</t>
        </is>
      </c>
      <c r="B36" s="41" t="inlineStr">
        <is>
          <t>피벗 값 영역</t>
        </is>
      </c>
    </row>
    <row r="37" ht="28" customHeight="1">
      <c r="A37" s="42" t="inlineStr">
        <is>
          <t>1단계</t>
        </is>
      </c>
      <c r="B37" s="19" t="inlineStr">
        <is>
          <t>값 영역의 숫자 하나를 오른쪽 클릭합니다.</t>
        </is>
      </c>
      <c r="C37" s="22" t="inlineStr"/>
    </row>
    <row r="38" ht="28" customHeight="1">
      <c r="A38" s="42" t="inlineStr">
        <is>
          <t>2단계</t>
        </is>
      </c>
      <c r="B38" s="19" t="inlineStr">
        <is>
          <t>[값 표시 형식] → [열 합계 비율].</t>
        </is>
      </c>
      <c r="C38" s="22" t="inlineStr"/>
    </row>
    <row r="39" ht="28" customHeight="1">
      <c r="A39" s="42" t="inlineStr">
        <is>
          <t>3단계</t>
        </is>
      </c>
      <c r="B39" s="19" t="inlineStr">
        <is>
          <t>숫자가 %로 바뀌는지 봅니다.</t>
        </is>
      </c>
      <c r="C39" s="22" t="inlineStr">
        <is>
          <t>합계가 100% 가 됩니다</t>
        </is>
      </c>
    </row>
    <row r="40" ht="28" customHeight="1">
      <c r="A40" s="42" t="inlineStr">
        <is>
          <t>4단계</t>
        </is>
      </c>
      <c r="B40" s="19" t="inlineStr">
        <is>
          <t>되돌리려면 같은 자리에서 [계산 없음].</t>
        </is>
      </c>
      <c r="C40" s="22" t="inlineStr"/>
    </row>
    <row r="41" ht="26" customHeight="1">
      <c r="A41" s="43" t="inlineStr">
        <is>
          <t>확인</t>
        </is>
      </c>
      <c r="B41" s="44" t="inlineStr">
        <is>
          <t>이렇게 되면 성공 — 각 칸이 그 열에서 차지하는 비중(%)으로 보입니다</t>
        </is>
      </c>
    </row>
    <row r="43" ht="24" customHeight="1">
      <c r="A43" s="39" t="inlineStr">
        <is>
          <t xml:space="preserve">  미션 6 · 보고서 필터 · 슬라이서</t>
        </is>
      </c>
    </row>
    <row r="44" ht="20" customHeight="1">
      <c r="A44" s="40" t="inlineStr">
        <is>
          <t>어디서</t>
        </is>
      </c>
      <c r="B44" s="41" t="inlineStr">
        <is>
          <t>피벗 필드 목록 · 피벗 분석 탭</t>
        </is>
      </c>
    </row>
    <row r="45" ht="28" customHeight="1">
      <c r="A45" s="42" t="inlineStr">
        <is>
          <t>1단계</t>
        </is>
      </c>
      <c r="B45" s="19" t="inlineStr">
        <is>
          <t>담당자 를 [필터] 영역으로 끕니다.</t>
        </is>
      </c>
      <c r="C45" s="22" t="inlineStr">
        <is>
          <t>피벗 맨 위에 필터 칸이 생깁니다</t>
        </is>
      </c>
    </row>
    <row r="46" ht="28" customHeight="1">
      <c r="A46" s="42" t="inlineStr">
        <is>
          <t>2단계</t>
        </is>
      </c>
      <c r="B46" s="19" t="inlineStr">
        <is>
          <t>그 칸에서 한 사람을 골라 봅니다.</t>
        </is>
      </c>
      <c r="C46" s="22" t="inlineStr">
        <is>
          <t>표 전체가 그 사람 것만 보여 줍니다</t>
        </is>
      </c>
    </row>
    <row r="47" ht="28" customHeight="1">
      <c r="A47" s="42" t="inlineStr">
        <is>
          <t>3단계</t>
        </is>
      </c>
      <c r="B47" s="19" t="inlineStr">
        <is>
          <t>피벗 분석 → [슬라이서 삽입] → 지역 체크 → 확인.</t>
        </is>
      </c>
      <c r="C47" s="22" t="inlineStr"/>
    </row>
    <row r="48" ht="28" customHeight="1">
      <c r="A48" s="42" t="inlineStr">
        <is>
          <t>4단계</t>
        </is>
      </c>
      <c r="B48" s="19" t="inlineStr">
        <is>
          <t>슬라이서에서 지역 단추를 눌러 봅니다.</t>
        </is>
      </c>
      <c r="C48" s="22" t="inlineStr">
        <is>
          <t>Ctrl 을 누르면 여러 개를 고를 수 있습니다</t>
        </is>
      </c>
    </row>
    <row r="49" ht="26" customHeight="1">
      <c r="A49" s="43" t="inlineStr">
        <is>
          <t>확인</t>
        </is>
      </c>
      <c r="B49" s="44" t="inlineStr">
        <is>
          <t>이렇게 되면 성공 — 단추를 누를 때마다 피벗 숫자가 바뀝니다</t>
        </is>
      </c>
    </row>
    <row r="51" ht="24" customHeight="1">
      <c r="A51" s="39" t="inlineStr">
        <is>
          <t xml:space="preserve">  미션 7 · 두 기준 정렬 · 중복 제거</t>
        </is>
      </c>
    </row>
    <row r="52" ht="20" customHeight="1">
      <c r="A52" s="40" t="inlineStr">
        <is>
          <t>어디서</t>
        </is>
      </c>
      <c r="B52" s="41" t="inlineStr">
        <is>
          <t>[출하실적] 데이터 탭</t>
        </is>
      </c>
    </row>
    <row r="53" ht="28" customHeight="1">
      <c r="A53" s="42" t="inlineStr">
        <is>
          <t>1단계</t>
        </is>
      </c>
      <c r="B53" s="19" t="inlineStr">
        <is>
          <t>데이터 → 정렬 → 담당자 오름차순 → [기준 추가] → 금액 내림차순 → 확인.</t>
        </is>
      </c>
      <c r="C53" s="22" t="inlineStr"/>
    </row>
    <row r="54" ht="28" customHeight="1">
      <c r="A54" s="42" t="inlineStr">
        <is>
          <t>2단계</t>
        </is>
      </c>
      <c r="B54" s="19" t="inlineStr">
        <is>
          <t>★ 중복 제거 전에 표를 다른 시트에 복사해 둡니다.</t>
        </is>
      </c>
      <c r="C54" s="22" t="inlineStr">
        <is>
          <t>지운 줄은 되돌리기 말고는 못 살립니다</t>
        </is>
      </c>
    </row>
    <row r="55" ht="28" customHeight="1">
      <c r="A55" s="42" t="inlineStr">
        <is>
          <t>3단계</t>
        </is>
      </c>
      <c r="B55" s="19" t="inlineStr">
        <is>
          <t>데이터 → [중복된 항목 제거].</t>
        </is>
      </c>
      <c r="C55" s="22" t="inlineStr"/>
    </row>
    <row r="56" ht="28" customHeight="1">
      <c r="A56" s="42" t="inlineStr">
        <is>
          <t>4단계</t>
        </is>
      </c>
      <c r="B56" s="19" t="inlineStr">
        <is>
          <t>거래처와 제품 만 체크하고 확인.</t>
        </is>
      </c>
      <c r="C56" s="22" t="inlineStr">
        <is>
          <t>체크한 열이 모두 같을 때만 중복으로 봅니다</t>
        </is>
      </c>
    </row>
    <row r="57" ht="26" customHeight="1">
      <c r="A57" s="43" t="inlineStr">
        <is>
          <t>확인</t>
        </is>
      </c>
      <c r="B57" s="44" t="inlineStr">
        <is>
          <t>이렇게 되면 성공 — 몇 개 제거되었는지 알려 주는 메시지가 뜹니다</t>
        </is>
      </c>
    </row>
    <row r="59" ht="24" customHeight="1">
      <c r="A59" s="39" t="inlineStr">
        <is>
          <t xml:space="preserve">  미션 8 · 거래처별 부분합</t>
        </is>
      </c>
    </row>
    <row r="60" ht="20" customHeight="1">
      <c r="A60" s="40" t="inlineStr">
        <is>
          <t>어디서</t>
        </is>
      </c>
      <c r="B60" s="41" t="inlineStr">
        <is>
          <t>[출하실적] 데이터 → 부분합</t>
        </is>
      </c>
    </row>
    <row r="61" ht="28" customHeight="1">
      <c r="A61" s="42" t="inlineStr">
        <is>
          <t>1단계</t>
        </is>
      </c>
      <c r="B61" s="19" t="inlineStr">
        <is>
          <t>먼저 거래처(C열) 기준으로 정렬합니다.</t>
        </is>
      </c>
      <c r="C61" s="22" t="inlineStr">
        <is>
          <t>★ 정렬을 안 하면 같은 거래처가 여러 번 나옵니다</t>
        </is>
      </c>
    </row>
    <row r="62" ht="28" customHeight="1">
      <c r="A62" s="42" t="inlineStr">
        <is>
          <t>2단계</t>
        </is>
      </c>
      <c r="B62" s="19" t="inlineStr">
        <is>
          <t>데이터 → 부분합.</t>
        </is>
      </c>
      <c r="C62" s="22" t="inlineStr"/>
    </row>
    <row r="63" ht="28" customHeight="1">
      <c r="A63" s="42" t="inlineStr">
        <is>
          <t>3단계</t>
        </is>
      </c>
      <c r="B63" s="19" t="inlineStr">
        <is>
          <t>그룹화할 항목 : 거래처 / 함수 : 합계 / 계산 항목 : 금액.</t>
        </is>
      </c>
      <c r="C63" s="22" t="inlineStr"/>
    </row>
    <row r="64" ht="28" customHeight="1">
      <c r="A64" s="42" t="inlineStr">
        <is>
          <t>4단계</t>
        </is>
      </c>
      <c r="B64" s="19" t="inlineStr">
        <is>
          <t>확인. 끝나면 [모두 제거] 로 지웁니다.</t>
        </is>
      </c>
      <c r="C64" s="22" t="inlineStr">
        <is>
          <t>피벗을 다시 만들려면 부분합을 지워야 합니다</t>
        </is>
      </c>
    </row>
    <row r="65" ht="26" customHeight="1">
      <c r="A65" s="43" t="inlineStr">
        <is>
          <t>확인</t>
        </is>
      </c>
      <c r="B65" s="44" t="inlineStr">
        <is>
          <t>이렇게 되면 성공 — 거래처가 바뀌는 자리마다 요약 줄이 생깁니다</t>
        </is>
      </c>
    </row>
    <row r="67" ht="24" customHeight="1">
      <c r="A67" s="39" t="inlineStr">
        <is>
          <t xml:space="preserve">  미션 9 · 데이터 통합</t>
        </is>
      </c>
    </row>
    <row r="68" ht="20" customHeight="1">
      <c r="A68" s="40" t="inlineStr">
        <is>
          <t>어디서</t>
        </is>
      </c>
      <c r="B68" s="41" t="inlineStr">
        <is>
          <t>[통합대상] 데이터 → 통합</t>
        </is>
      </c>
    </row>
    <row r="69" ht="28" customHeight="1">
      <c r="A69" s="42" t="inlineStr">
        <is>
          <t>1단계</t>
        </is>
      </c>
      <c r="B69" s="19" t="inlineStr">
        <is>
          <t>A15 를 클릭합니다.</t>
        </is>
      </c>
      <c r="C69" s="22" t="inlineStr">
        <is>
          <t>결과가 여기서부터 만들어집니다</t>
        </is>
      </c>
    </row>
    <row r="70" ht="28" customHeight="1">
      <c r="A70" s="42" t="inlineStr">
        <is>
          <t>2단계</t>
        </is>
      </c>
      <c r="B70" s="19" t="inlineStr">
        <is>
          <t>데이터 → [통합] → 함수를 합계 로 둡니다.</t>
        </is>
      </c>
      <c r="C70" s="22" t="inlineStr"/>
    </row>
    <row r="71" ht="28" customHeight="1">
      <c r="A71" s="42" t="inlineStr">
        <is>
          <t>3단계</t>
        </is>
      </c>
      <c r="B71" s="19" t="inlineStr">
        <is>
          <t>참조 칸을 클릭하고 A5:C9 를 잡은 뒤 [추가]. 같은 방법으로 E5:G8, I5:K9 도 추가.</t>
        </is>
      </c>
      <c r="C71" s="22" t="inlineStr">
        <is>
          <t>세 표의 제품 순서가 달라도 괜찮습니다</t>
        </is>
      </c>
    </row>
    <row r="72" ht="28" customHeight="1">
      <c r="A72" s="42" t="inlineStr">
        <is>
          <t>4단계</t>
        </is>
      </c>
      <c r="B72" s="19" t="inlineStr">
        <is>
          <t>사용할 레이블에서 [첫 행] 과 [왼쪽 열] 을 모두 체크하고 확인.</t>
        </is>
      </c>
      <c r="C72" s="22" t="inlineStr">
        <is>
          <t>★ 이걸 안 하면 이름 없이 숫자만 합쳐집니다</t>
        </is>
      </c>
    </row>
    <row r="73" ht="26" customHeight="1">
      <c r="A73" s="43" t="inlineStr">
        <is>
          <t>확인</t>
        </is>
      </c>
      <c r="B73" s="44" t="inlineStr">
        <is>
          <t>이렇게 되면 성공 — A15 부터 제품별 수량·금액 합계표가 만들어집니다</t>
        </is>
      </c>
    </row>
    <row r="75" ht="24" customHeight="1">
      <c r="A75" s="39" t="inlineStr">
        <is>
          <t xml:space="preserve">  미션 10 · 1변수 데이터 표</t>
        </is>
      </c>
    </row>
    <row r="76" ht="20" customHeight="1">
      <c r="A76" s="40" t="inlineStr">
        <is>
          <t>어디서</t>
        </is>
      </c>
      <c r="B76" s="41" t="inlineStr">
        <is>
          <t>[데이터표] 데이터 → 가상 분석</t>
        </is>
      </c>
    </row>
    <row r="77" ht="28" customHeight="1">
      <c r="A77" s="42" t="inlineStr">
        <is>
          <t>1단계</t>
        </is>
      </c>
      <c r="B77" s="19" t="inlineStr">
        <is>
          <t>B13 에  =B9  를 넣습니다.</t>
        </is>
      </c>
      <c r="C77" s="22" t="inlineStr">
        <is>
          <t>★ 결과가 나올 자리 바로 위·오른쪽 모서리에 수식을 놓습니다</t>
        </is>
      </c>
    </row>
    <row r="78" ht="28" customHeight="1">
      <c r="A78" s="42" t="inlineStr">
        <is>
          <t>2단계</t>
        </is>
      </c>
      <c r="B78" s="19" t="inlineStr">
        <is>
          <t>A13:B19 를 드래그해 잡습니다.</t>
        </is>
      </c>
      <c r="C78" s="22" t="inlineStr">
        <is>
          <t>머리글 줄까지 포함합니다</t>
        </is>
      </c>
    </row>
    <row r="79" ht="28" customHeight="1">
      <c r="A79" s="42" t="inlineStr">
        <is>
          <t>3단계</t>
        </is>
      </c>
      <c r="B79" s="19" t="inlineStr">
        <is>
          <t>데이터 → 가상 분석 → [데이터 표].</t>
        </is>
      </c>
      <c r="C79" s="22" t="inlineStr"/>
    </row>
    <row r="80" ht="28" customHeight="1">
      <c r="A80" s="42" t="inlineStr">
        <is>
          <t>4단계</t>
        </is>
      </c>
      <c r="B80" s="19" t="inlineStr">
        <is>
          <t>[열 입력 셀] 에 $B$4 를 넣고 확인.</t>
        </is>
      </c>
      <c r="C80" s="22" t="inlineStr">
        <is>
          <t>바꿀 값(수량)이 세로로 놓여 있으므로 '열'</t>
        </is>
      </c>
    </row>
    <row r="81" ht="26" customHeight="1">
      <c r="A81" s="43" t="inlineStr">
        <is>
          <t>확인</t>
        </is>
      </c>
      <c r="B81" s="44" t="inlineStr">
        <is>
          <t>이렇게 되면 성공 — 수량마다의 영업이익이 한꺼번에 채워집니다</t>
        </is>
      </c>
    </row>
    <row r="83" ht="24" customHeight="1">
      <c r="A83" s="39" t="inlineStr">
        <is>
          <t xml:space="preserve">  미션 11 · 2변수 데이터 표</t>
        </is>
      </c>
    </row>
    <row r="84" ht="20" customHeight="1">
      <c r="A84" s="40" t="inlineStr">
        <is>
          <t>어디서</t>
        </is>
      </c>
      <c r="B84" s="41" t="inlineStr">
        <is>
          <t>[데이터표] 데이터 → 가상 분석</t>
        </is>
      </c>
    </row>
    <row r="85" ht="28" customHeight="1">
      <c r="A85" s="42" t="inlineStr">
        <is>
          <t>1단계</t>
        </is>
      </c>
      <c r="B85" s="19" t="inlineStr">
        <is>
          <t>A22 (왼쪽 위 모서리) 에  =B9  를 넣습니다.</t>
        </is>
      </c>
      <c r="C85" s="22" t="inlineStr">
        <is>
          <t>★ 2변수는 모서리에 수식을 놓습니다</t>
        </is>
      </c>
    </row>
    <row r="86" ht="28" customHeight="1">
      <c r="A86" s="42" t="inlineStr">
        <is>
          <t>2단계</t>
        </is>
      </c>
      <c r="B86" s="19" t="inlineStr">
        <is>
          <t>A22:F27 을 잡습니다.</t>
        </is>
      </c>
      <c r="C86" s="22" t="inlineStr">
        <is>
          <t>가로에 단가, 세로에 수량이 있는 네모 전체</t>
        </is>
      </c>
    </row>
    <row r="87" ht="28" customHeight="1">
      <c r="A87" s="42" t="inlineStr">
        <is>
          <t>3단계</t>
        </is>
      </c>
      <c r="B87" s="19" t="inlineStr">
        <is>
          <t>데이터 → 가상 분석 → 데이터 표.</t>
        </is>
      </c>
      <c r="C87" s="22" t="inlineStr"/>
    </row>
    <row r="88" ht="28" customHeight="1">
      <c r="A88" s="42" t="inlineStr">
        <is>
          <t>4단계</t>
        </is>
      </c>
      <c r="B88" s="19" t="inlineStr">
        <is>
          <t>[행 입력 셀] $B$5, [열 입력 셀] $B$4 를 넣고 확인.</t>
        </is>
      </c>
      <c r="C88" s="22" t="inlineStr">
        <is>
          <t>가로로 늘어선 값이 '행', 세로가 '열'</t>
        </is>
      </c>
    </row>
    <row r="89" ht="26" customHeight="1">
      <c r="A89" s="43" t="inlineStr">
        <is>
          <t>확인</t>
        </is>
      </c>
      <c r="B89" s="44" t="inlineStr">
        <is>
          <t>이렇게 되면 성공 — 수량 × 단가 조합마다의 영업이익 표가 채워집니다</t>
        </is>
      </c>
    </row>
    <row r="91" ht="24" customHeight="1">
      <c r="A91" s="39" t="inlineStr">
        <is>
          <t xml:space="preserve">  미션 12 · 손익분기점 — 목표값 찾기</t>
        </is>
      </c>
    </row>
    <row r="92" ht="20" customHeight="1">
      <c r="A92" s="40" t="inlineStr">
        <is>
          <t>어디서</t>
        </is>
      </c>
      <c r="B92" s="41" t="inlineStr">
        <is>
          <t>[데이터표] 데이터 → 가상 분석</t>
        </is>
      </c>
    </row>
    <row r="93" ht="28" customHeight="1">
      <c r="A93" s="42" t="inlineStr">
        <is>
          <t>1단계</t>
        </is>
      </c>
      <c r="B93" s="19" t="inlineStr">
        <is>
          <t>B4 의 지금 값(800)을 적어 둡니다.</t>
        </is>
      </c>
      <c r="C93" s="22" t="inlineStr">
        <is>
          <t>목표값 찾기는 이 값을 바꿉니다</t>
        </is>
      </c>
    </row>
    <row r="94" ht="28" customHeight="1">
      <c r="A94" s="42" t="inlineStr">
        <is>
          <t>2단계</t>
        </is>
      </c>
      <c r="B94" s="19" t="inlineStr">
        <is>
          <t>데이터 → 가상 분석 → [목표값 찾기].</t>
        </is>
      </c>
      <c r="C94" s="22" t="inlineStr"/>
    </row>
    <row r="95" ht="28" customHeight="1">
      <c r="A95" s="42" t="inlineStr">
        <is>
          <t>3단계</t>
        </is>
      </c>
      <c r="B95" s="19" t="inlineStr">
        <is>
          <t>수식 셀 $B$9 / 찾는 값 0 / 값을 바꿀 셀 $B$4.</t>
        </is>
      </c>
      <c r="C95" s="22" t="inlineStr">
        <is>
          <t>영업이익이 0 이 되는 수량 = 손익분기점</t>
        </is>
      </c>
    </row>
    <row r="96" ht="28" customHeight="1">
      <c r="A96" s="42" t="inlineStr">
        <is>
          <t>4단계</t>
        </is>
      </c>
      <c r="B96" s="19" t="inlineStr">
        <is>
          <t>확인 → 결과 확인.</t>
        </is>
      </c>
      <c r="C96" s="22" t="inlineStr">
        <is>
          <t>고정비 ÷ (단가-변동비) 와 같은 값이 나옵니다</t>
        </is>
      </c>
    </row>
    <row r="97" ht="26" customHeight="1">
      <c r="A97" s="43" t="inlineStr">
        <is>
          <t>확인</t>
        </is>
      </c>
      <c r="B97" s="44" t="inlineStr">
        <is>
          <t>이렇게 되면 성공 — B4 가 약 530 개로 바뀌고 B9 가 0 이 됩니다</t>
        </is>
      </c>
    </row>
  </sheetData>
  <mergeCells count="38">
    <mergeCell ref="B97:C97"/>
    <mergeCell ref="B25:C25"/>
    <mergeCell ref="A75:C75"/>
    <mergeCell ref="B81:C81"/>
    <mergeCell ref="A27:C27"/>
    <mergeCell ref="A2:C2"/>
    <mergeCell ref="B12:C12"/>
    <mergeCell ref="B52:C52"/>
    <mergeCell ref="B60:C60"/>
    <mergeCell ref="A91:C91"/>
    <mergeCell ref="B17:C17"/>
    <mergeCell ref="A35:C35"/>
    <mergeCell ref="A4:C4"/>
    <mergeCell ref="B57:C57"/>
    <mergeCell ref="A43:C43"/>
    <mergeCell ref="B73:C73"/>
    <mergeCell ref="B44:C44"/>
    <mergeCell ref="A19:C19"/>
    <mergeCell ref="B28:C28"/>
    <mergeCell ref="A67:C67"/>
    <mergeCell ref="B84:C84"/>
    <mergeCell ref="A83:C83"/>
    <mergeCell ref="B9:C9"/>
    <mergeCell ref="A59:C59"/>
    <mergeCell ref="B49:C49"/>
    <mergeCell ref="B65:C65"/>
    <mergeCell ref="A51:C51"/>
    <mergeCell ref="B92:C92"/>
    <mergeCell ref="B68:C68"/>
    <mergeCell ref="A11:C11"/>
    <mergeCell ref="B33:C33"/>
    <mergeCell ref="A1:C1"/>
    <mergeCell ref="B5:C5"/>
    <mergeCell ref="B20:C20"/>
    <mergeCell ref="B76:C76"/>
    <mergeCell ref="B89:C89"/>
    <mergeCell ref="B36:C36"/>
    <mergeCell ref="B41:C4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46" customWidth="1" min="4" max="4"/>
    <col width="13" customWidth="1" min="5" max="5"/>
    <col width="44" customWidth="1" min="6" max="6"/>
  </cols>
  <sheetData>
    <row r="1" ht="26" customHeight="1">
      <c r="A1" s="14" t="inlineStr">
        <is>
          <t>1급 ② 분석작업 — 계산 문제 정답</t>
        </is>
      </c>
    </row>
    <row r="2" ht="30" customHeight="1">
      <c r="A2" s="13" t="inlineStr">
        <is>
          <t>먼저 스스로 만들어 본 뒤에 펼쳐 보세요.  [넣을 칸] 이 그 답을 적을 자리이고, [정답값] 은 제대로 넣었을 때 나와야 하는 값입니다.</t>
        </is>
      </c>
    </row>
    <row r="4" ht="22" customHeight="1">
      <c r="A4" s="45" t="inlineStr">
        <is>
          <t xml:space="preserve">  표 아래 계산 문제 6개</t>
        </is>
      </c>
    </row>
    <row r="5" ht="24" customHeight="1">
      <c r="A5" s="5" t="inlineStr">
        <is>
          <t>번호</t>
        </is>
      </c>
      <c r="B5" s="5" t="inlineStr">
        <is>
          <t>넣을 칸</t>
        </is>
      </c>
      <c r="C5" s="5" t="inlineStr">
        <is>
          <t>무엇을 구하나</t>
        </is>
      </c>
      <c r="D5" s="5" t="inlineStr">
        <is>
          <t>정답 수식</t>
        </is>
      </c>
      <c r="E5" s="5" t="inlineStr">
        <is>
          <t>정답값</t>
        </is>
      </c>
      <c r="F5" s="5" t="inlineStr">
        <is>
          <t>왜 그런가 · 자주 하는 실수</t>
        </is>
      </c>
    </row>
    <row r="6" ht="30" customHeight="1">
      <c r="A6" s="7" t="n">
        <v>1</v>
      </c>
      <c r="B6" s="46" t="inlineStr">
        <is>
          <t>출하실적 E59</t>
        </is>
      </c>
      <c r="C6" s="47" t="inlineStr">
        <is>
          <t>전체 금액[G4:G51] 합계. (G열을 먼저 채우세요)</t>
        </is>
      </c>
      <c r="D6" s="48" t="inlineStr">
        <is>
          <t>=SUM(G4:G51)</t>
        </is>
      </c>
      <c r="E6" s="49">
        <f>'출하실적'!AB59</f>
        <v/>
      </c>
      <c r="F6" s="47" t="inlineStr"/>
    </row>
    <row r="7" ht="30" customHeight="1">
      <c r="A7" s="50" t="n">
        <v>2</v>
      </c>
      <c r="B7" s="51" t="inlineStr">
        <is>
          <t>출하실적 E60</t>
        </is>
      </c>
      <c r="C7" s="52" t="inlineStr">
        <is>
          <t>'수도권' 의 수량 합계.</t>
        </is>
      </c>
      <c r="D7" s="53" t="inlineStr">
        <is>
          <t>=SUMIF($B$4:$B$51,"수도권",$E$4:$E$51)</t>
        </is>
      </c>
      <c r="E7" s="54">
        <f>'출하실적'!AB60</f>
        <v/>
      </c>
      <c r="F7" s="52" t="inlineStr"/>
    </row>
    <row r="8" ht="30" customHeight="1">
      <c r="A8" s="7" t="n">
        <v>3</v>
      </c>
      <c r="B8" s="46" t="inlineStr">
        <is>
          <t>출하실적 E61</t>
        </is>
      </c>
      <c r="C8" s="47" t="inlineStr">
        <is>
          <t>'수도권' 이면서 제품이 '구동축' 인 건수.</t>
        </is>
      </c>
      <c r="D8" s="48" t="inlineStr">
        <is>
          <t>=COUNTIFS(B4:B51,"수도권",D4:D51,"구동축")</t>
        </is>
      </c>
      <c r="E8" s="49">
        <f>'출하실적'!AB61</f>
        <v/>
      </c>
      <c r="F8" s="47" t="inlineStr"/>
    </row>
    <row r="9" ht="30" customHeight="1">
      <c r="A9" s="50" t="n">
        <v>4</v>
      </c>
      <c r="B9" s="51" t="inlineStr">
        <is>
          <t>출하실적 E62</t>
        </is>
      </c>
      <c r="C9" s="52" t="inlineStr">
        <is>
          <t>거래처가 '대한정밀' 인 줄의 평균 수량을 소수 첫째 자리까지.</t>
        </is>
      </c>
      <c r="D9" s="53" t="inlineStr">
        <is>
          <t>=ROUND(AVERAGEIF($C$4:$C$51,"대한정밀",$E$4:$E$51),1)</t>
        </is>
      </c>
      <c r="E9" s="54">
        <f>'출하실적'!AB62</f>
        <v/>
      </c>
      <c r="F9" s="52" t="inlineStr"/>
    </row>
    <row r="10" ht="30" customHeight="1">
      <c r="A10" s="7" t="n">
        <v>5</v>
      </c>
      <c r="B10" s="46" t="inlineStr">
        <is>
          <t>출하실적 E63</t>
        </is>
      </c>
      <c r="C10" s="47" t="inlineStr">
        <is>
          <t>1분기(1~3월)에 출하된 건수.</t>
        </is>
      </c>
      <c r="D10" s="48" t="inlineStr">
        <is>
          <t>=SUMPRODUCT((MONTH(A4:A51)&lt;=3)*1)</t>
        </is>
      </c>
      <c r="E10" s="49">
        <f>'출하실적'!AB63</f>
        <v/>
      </c>
      <c r="F10" s="47" t="inlineStr">
        <is>
          <t>조건에 함수를 써야 할 때는 SUMPRODUCT 가 편합니다</t>
        </is>
      </c>
    </row>
    <row r="11" ht="30" customHeight="1">
      <c r="A11" s="50" t="n">
        <v>6</v>
      </c>
      <c r="B11" s="51" t="inlineStr">
        <is>
          <t>출하실적 E64</t>
        </is>
      </c>
      <c r="C11" s="52" t="inlineStr">
        <is>
          <t>담당자별로 가장 많은 수량을 낸 한 건의 수량. (담당자 '김현수' 기준)</t>
        </is>
      </c>
      <c r="D11" s="53" t="inlineStr">
        <is>
          <t>=SUMPRODUCT(MAX((H4:H51="김현수")*E4:E51))</t>
        </is>
      </c>
      <c r="E11" s="54">
        <f>'출하실적'!AB64</f>
        <v/>
      </c>
      <c r="F11" s="52" t="inlineStr"/>
    </row>
  </sheetData>
  <mergeCells count="3">
    <mergeCell ref="A2:F2"/>
    <mergeCell ref="A1:F1"/>
    <mergeCell ref="A4:F4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2026-09-21T03:28:41Z</dcterms:created>
  <dcterms:modified xmlns:dcterms="http://purl.org/dc/terms/" xmlns:xsi="http://www.w3.org/2001/XMLSchema-instance" xsi:type="dcterms:W3CDTF">2026-09-21T03:28:41Z</dcterms:modified>
</cp:coreProperties>
</file>