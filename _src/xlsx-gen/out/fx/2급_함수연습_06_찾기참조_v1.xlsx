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채점표" sheetId="2" state="visible" r:id="rId2"/>
    <sheet xmlns:r="http://schemas.openxmlformats.org/officeDocument/2006/relationships" name="01 VLOOKUP 정확히 일치" sheetId="3" state="visible" r:id="rId3"/>
    <sheet xmlns:r="http://schemas.openxmlformats.org/officeDocument/2006/relationships" name="02 VLOOKUP 구간별 등급" sheetId="4" state="visible" r:id="rId4"/>
    <sheet xmlns:r="http://schemas.openxmlformats.org/officeDocument/2006/relationships" name="03 HLOOKUP 가로 조회" sheetId="5" state="visible" r:id="rId5"/>
    <sheet xmlns:r="http://schemas.openxmlformats.org/officeDocument/2006/relationships" name="04 INDEX + MATCH" sheetId="6" state="visible" r:id="rId6"/>
    <sheet xmlns:r="http://schemas.openxmlformats.org/officeDocument/2006/relationships" name="05 CHOOSE로 요일 표시" sheetId="7" state="visible" r:id="rId7"/>
    <sheet xmlns:r="http://schemas.openxmlformats.org/officeDocument/2006/relationships" name="06 날짜의 요일 표시" sheetId="8" state="visible" r:id="rId8"/>
    <sheet xmlns:r="http://schemas.openxmlformats.org/officeDocument/2006/relationships" name="07 VLOOKUP으로 단가 찾기" sheetId="9" state="visible" r:id="rId9"/>
    <sheet xmlns:r="http://schemas.openxmlformats.org/officeDocument/2006/relationships" name="08 VLOOKUP 구간으로 등급" sheetId="10" state="visible" r:id="rId10"/>
    <sheet xmlns:r="http://schemas.openxmlformats.org/officeDocument/2006/relationships" name="09 MATCH로 몇 번째인지" sheetId="11" state="visible" r:id="rId11"/>
    <sheet xmlns:r="http://schemas.openxmlformats.org/officeDocument/2006/relationships" name="10 CHOOSE로 요일 이름" sheetId="12" state="visible" r:id="rId12"/>
    <sheet xmlns:r="http://schemas.openxmlformats.org/officeDocument/2006/relationships" name="정답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FFFFFF"/>
    </font>
    <font>
      <i val="1"/>
      <color rgb="00A6A6A6"/>
    </font>
    <font>
      <b val="1"/>
      <color rgb="001F3864"/>
      <sz val="13"/>
    </font>
    <font>
      <b val="1"/>
      <color rgb="00C55A11"/>
      <sz val="10.5"/>
    </font>
    <font>
      <b val="1"/>
      <sz val="12"/>
    </font>
    <font>
      <color rgb="007F7F7F"/>
      <sz val="9.5"/>
    </font>
    <font>
      <color rgb="007F7F7F"/>
      <sz val="10"/>
    </font>
    <font>
      <b val="1"/>
      <color rgb="001F3864"/>
      <sz val="14"/>
    </font>
    <font>
      <b val="1"/>
      <color rgb="00FFFFFF"/>
      <sz val="11"/>
    </font>
    <font>
      <b val="1"/>
    </font>
    <font>
      <name val="Consolas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E5C8A"/>
      </patternFill>
    </fill>
    <fill>
      <patternFill patternType="solid">
        <fgColor rgb="00FFF2CC"/>
      </patternFill>
    </fill>
    <fill>
      <patternFill patternType="solid">
        <fgColor rgb="00EEF3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7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0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2" fillId="5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1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컴활 2급 실기 · 함수 연습 — 찾기참조 (10문제)</t>
        </is>
      </c>
    </row>
    <row r="3" ht="19" customHeight="1">
      <c r="B3" s="2" t="inlineStr">
        <is>
          <t>웹 「함수 연습소」의 [찾기·참조] 범위와 똑같은 문제입니다. 번호도, 표도, 칸 주소도 같습니다.</t>
        </is>
      </c>
    </row>
    <row r="4" ht="19" customHeight="1">
      <c r="B4" s="2" t="inlineStr">
        <is>
          <t>웹에서는 한 문제씩, 여기서는 진짜 엑셀로 한꺼번에 풀어 봅니다.</t>
        </is>
      </c>
    </row>
    <row r="5" ht="24" customHeight="1">
      <c r="B5" s="3" t="inlineStr">
        <is>
          <t>푸는 법</t>
        </is>
      </c>
    </row>
    <row r="6" ht="19" customHeight="1">
      <c r="B6" s="2" t="inlineStr">
        <is>
          <t>① 아래 시트 탭(01, 02 …)이 문제 하나씩입니다. 오른쪽에 문제가 적혀 있습니다.</t>
        </is>
      </c>
    </row>
    <row r="7" ht="19" customHeight="1">
      <c r="B7" s="2" t="inlineStr">
        <is>
          <t>② 노란 칸의 0 을 지우고 = 로 시작하는 수식을 넣습니다.</t>
        </is>
      </c>
    </row>
    <row r="8" ht="19" customHeight="1">
      <c r="B8" s="2" t="inlineStr">
        <is>
          <t>③ 노란 칸이 여러 줄이면 — 첫 칸에만 수식을 넣고, 채우기 핸들(칸 오른쪽 아래 ■)을 마지막 노란 칸까지 끌어내립니다.</t>
        </is>
      </c>
    </row>
    <row r="9" ht="19" customHeight="1">
      <c r="B9" s="2" t="inlineStr">
        <is>
          <t>④ 오른쪽 [채점] 칸이 ✔ 맞음 / ✘ 다시 로 스스로 바뀝니다. 수식이 달라도 결과가 같으면 맞음입니다.</t>
        </is>
      </c>
    </row>
    <row r="10" ht="19" customHeight="1">
      <c r="B10" s="2" t="inlineStr">
        <is>
          <t>⑤ [채점표] 시트에서 전체 진행 상황을, 맨 끝 [정답] 시트에서 모범답안을 볼 수 있습니다.</t>
        </is>
      </c>
    </row>
    <row r="11" ht="34" customHeight="1">
      <c r="B11" s="4" t="inlineStr">
        <is>
          <t>사람마다 결과가 달라야 정상입니다. 첫 칸은 맞았는데 아래 칸이 틀린다면, 끌어내리면서 범위나 기준 칸도 같이 내려간 것입니다 — 움직이면 안 되는 주소에 F4 로 $ 를 붙이세요.</t>
        </is>
      </c>
    </row>
    <row r="12" ht="34" customHeight="1">
      <c r="B12" s="4" t="inlineStr">
        <is>
          <t>값이 안 바뀌어 보이면 Ctrl + Alt + F9 (전체 다시 계산). 숫자를 손으로 적으면 맞음이 나오지 않습니다.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18" customWidth="1" min="4" max="4"/>
  </cols>
  <sheetData>
    <row r="1" ht="26" customHeight="1">
      <c r="A1" s="5" t="inlineStr">
        <is>
          <t>채점표 — 찾기참조 10문제</t>
        </is>
      </c>
    </row>
    <row r="3" ht="24" customHeight="1">
      <c r="A3" s="6" t="inlineStr">
        <is>
          <t>번호</t>
        </is>
      </c>
      <c r="B3" s="6" t="inlineStr">
        <is>
          <t>문제</t>
        </is>
      </c>
      <c r="C3" s="6" t="inlineStr">
        <is>
          <t>넣을 칸</t>
        </is>
      </c>
      <c r="D3" s="6" t="inlineStr">
        <is>
          <t>채점</t>
        </is>
      </c>
    </row>
    <row r="4">
      <c r="A4" s="7" t="n">
        <v>1</v>
      </c>
      <c r="B4" s="8" t="inlineStr">
        <is>
          <t>VLOOKUP 정확히 일치</t>
        </is>
      </c>
      <c r="C4" s="7" t="inlineStr">
        <is>
          <t>E2 → E6</t>
        </is>
      </c>
      <c r="D4" s="9">
        <f>'01 VLOOKUP 정확히 일치'!I7</f>
        <v/>
      </c>
    </row>
    <row r="5">
      <c r="A5" s="7" t="n">
        <v>2</v>
      </c>
      <c r="B5" s="8" t="inlineStr">
        <is>
          <t>VLOOKUP 구간별 등급</t>
        </is>
      </c>
      <c r="C5" s="7" t="inlineStr">
        <is>
          <t>C2 → C7</t>
        </is>
      </c>
      <c r="D5" s="9">
        <f>'02 VLOOKUP 구간별 등급'!I7</f>
        <v/>
      </c>
    </row>
    <row r="6">
      <c r="A6" s="7" t="n">
        <v>3</v>
      </c>
      <c r="B6" s="8" t="inlineStr">
        <is>
          <t>HLOOKUP 가로 조회</t>
        </is>
      </c>
      <c r="C6" s="7" t="inlineStr">
        <is>
          <t>D4</t>
        </is>
      </c>
      <c r="D6" s="9">
        <f>'03 HLOOKUP 가로 조회'!I6</f>
        <v/>
      </c>
    </row>
    <row r="7">
      <c r="A7" s="7" t="n">
        <v>4</v>
      </c>
      <c r="B7" s="8" t="inlineStr">
        <is>
          <t>INDEX + MATCH</t>
        </is>
      </c>
      <c r="C7" s="7" t="inlineStr">
        <is>
          <t>B6</t>
        </is>
      </c>
      <c r="D7" s="9">
        <f>'04 INDEX + MATCH'!I6</f>
        <v/>
      </c>
    </row>
    <row r="8">
      <c r="A8" s="7" t="n">
        <v>5</v>
      </c>
      <c r="B8" s="8" t="inlineStr">
        <is>
          <t>CHOOSE로 요일 표시</t>
        </is>
      </c>
      <c r="C8" s="7" t="inlineStr">
        <is>
          <t>B2 → B7</t>
        </is>
      </c>
      <c r="D8" s="9">
        <f>'05 CHOOSE로 요일 표시'!I7</f>
        <v/>
      </c>
    </row>
    <row r="9">
      <c r="A9" s="7" t="n">
        <v>6</v>
      </c>
      <c r="B9" s="8" t="inlineStr">
        <is>
          <t>날짜의 요일 표시</t>
        </is>
      </c>
      <c r="C9" s="7" t="inlineStr">
        <is>
          <t>B2 → B7</t>
        </is>
      </c>
      <c r="D9" s="9">
        <f>'06 날짜의 요일 표시'!I7</f>
        <v/>
      </c>
    </row>
    <row r="10">
      <c r="A10" s="7" t="n">
        <v>7</v>
      </c>
      <c r="B10" s="8" t="inlineStr">
        <is>
          <t>VLOOKUP으로 단가 찾기</t>
        </is>
      </c>
      <c r="C10" s="7" t="inlineStr">
        <is>
          <t>C6</t>
        </is>
      </c>
      <c r="D10" s="9">
        <f>'07 VLOOKUP으로 단가 찾기'!I6</f>
        <v/>
      </c>
    </row>
    <row r="11">
      <c r="A11" s="7" t="n">
        <v>8</v>
      </c>
      <c r="B11" s="8" t="inlineStr">
        <is>
          <t>VLOOKUP 구간으로 등급</t>
        </is>
      </c>
      <c r="C11" s="7" t="inlineStr">
        <is>
          <t>B7</t>
        </is>
      </c>
      <c r="D11" s="9">
        <f>'08 VLOOKUP 구간으로 등급'!I6</f>
        <v/>
      </c>
    </row>
    <row r="12">
      <c r="A12" s="7" t="n">
        <v>9</v>
      </c>
      <c r="B12" s="8" t="inlineStr">
        <is>
          <t>MATCH로 몇 번째인지</t>
        </is>
      </c>
      <c r="C12" s="7" t="inlineStr">
        <is>
          <t>A6</t>
        </is>
      </c>
      <c r="D12" s="9">
        <f>'09 MATCH로 몇 번째인지'!I6</f>
        <v/>
      </c>
    </row>
    <row r="13">
      <c r="A13" s="7" t="n">
        <v>10</v>
      </c>
      <c r="B13" s="8" t="inlineStr">
        <is>
          <t>CHOOSE로 요일 이름</t>
        </is>
      </c>
      <c r="C13" s="7" t="inlineStr">
        <is>
          <t>B2 → B7</t>
        </is>
      </c>
      <c r="D13" s="9">
        <f>'10 CHOOSE로 요일 이름'!I7</f>
        <v/>
      </c>
    </row>
    <row r="15">
      <c r="B15" s="10" t="inlineStr">
        <is>
          <t>맞은 문제</t>
        </is>
      </c>
      <c r="D15" s="11">
        <f>COUNTIF(D4:D13,"*맞음*")&amp;" / 10"</f>
        <v/>
      </c>
    </row>
  </sheetData>
  <mergeCells count="1">
    <mergeCell ref="A1:D1"/>
  </mergeCells>
  <conditionalFormatting sqref="D4:D13">
    <cfRule type="expression" priority="1" dxfId="0">
      <formula>ISNUMBER(SEARCH("맞",D4))</formula>
    </cfRule>
    <cfRule type="expression" priority="2" dxfId="1">
      <formula>ISNUMBER(SEARCH("다시",D4))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6" customWidth="1" min="4" max="4"/>
    <col width="14" customWidth="1" min="5" max="5"/>
    <col width="3" customWidth="1" min="6" max="6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사번</t>
        </is>
      </c>
      <c r="B1" s="12" t="inlineStr">
        <is>
          <t>이름</t>
        </is>
      </c>
      <c r="C1" s="13" t="n"/>
      <c r="D1" s="12" t="inlineStr">
        <is>
          <t>찾을 사번</t>
        </is>
      </c>
      <c r="E1" s="12" t="inlineStr">
        <is>
          <t>이름</t>
        </is>
      </c>
      <c r="H1" s="14" t="inlineStr">
        <is>
          <t>1번 · VLOOKUP 정확히 일치</t>
        </is>
      </c>
    </row>
    <row r="2" ht="22" customHeight="1">
      <c r="A2" s="7" t="inlineStr">
        <is>
          <t>A01</t>
        </is>
      </c>
      <c r="B2" s="7" t="inlineStr">
        <is>
          <t>김하늘</t>
        </is>
      </c>
      <c r="D2" s="7" t="inlineStr">
        <is>
          <t>A03</t>
        </is>
      </c>
      <c r="E2" s="15" t="n">
        <v>0</v>
      </c>
      <c r="H2" s="16" t="inlineStr">
        <is>
          <t>찾을 사번[D2:D6]으로 [A2:B5]에서 정확히 일치하는 이름을 찾아 [E2:E6]에 표시하시오. (찾을 범위는 끌어내려도 움직이지 않아야 합니다)</t>
        </is>
      </c>
      <c r="AA2">
        <f>VLOOKUP(D2,$A$2:$B$5,2,FALSE)</f>
        <v/>
      </c>
      <c r="AB2">
        <f>AND(_xlfn.ISFORMULA(E2),IFERROR(ROUND(E2,4)=ROUND(AA2,4),EXACT(E2,AA2)))</f>
        <v/>
      </c>
    </row>
    <row r="3" ht="22" customHeight="1">
      <c r="A3" s="7" t="inlineStr">
        <is>
          <t>A02</t>
        </is>
      </c>
      <c r="B3" s="7" t="inlineStr">
        <is>
          <t>이바다</t>
        </is>
      </c>
      <c r="D3" s="7" t="inlineStr">
        <is>
          <t>A01</t>
        </is>
      </c>
      <c r="E3" s="15" t="n">
        <v>0</v>
      </c>
      <c r="AA3">
        <f>VLOOKUP(D3,$A$2:$B$5,2,FALSE)</f>
        <v/>
      </c>
      <c r="AB3">
        <f>AND(_xlfn.ISFORMULA(E3),IFERROR(ROUND(E3,4)=ROUND(AA3,4),EXACT(E3,AA3)))</f>
        <v/>
      </c>
    </row>
    <row r="4" ht="22" customHeight="1">
      <c r="A4" s="7" t="inlineStr">
        <is>
          <t>A03</t>
        </is>
      </c>
      <c r="B4" s="7" t="inlineStr">
        <is>
          <t>박구름</t>
        </is>
      </c>
      <c r="D4" s="7" t="inlineStr">
        <is>
          <t>A04</t>
        </is>
      </c>
      <c r="E4" s="15" t="n">
        <v>0</v>
      </c>
      <c r="AA4">
        <f>VLOOKUP(D4,$A$2:$B$5,2,FALSE)</f>
        <v/>
      </c>
      <c r="AB4">
        <f>AND(_xlfn.ISFORMULA(E4),IFERROR(ROUND(E4,4)=ROUND(AA4,4),EXACT(E4,AA4)))</f>
        <v/>
      </c>
    </row>
    <row r="5" ht="20" customHeight="1">
      <c r="A5" s="7" t="inlineStr">
        <is>
          <t>A04</t>
        </is>
      </c>
      <c r="B5" s="7" t="inlineStr">
        <is>
          <t>최별</t>
        </is>
      </c>
      <c r="D5" s="7" t="inlineStr">
        <is>
          <t>A02</t>
        </is>
      </c>
      <c r="E5" s="15" t="n">
        <v>0</v>
      </c>
      <c r="H5" s="17" t="inlineStr">
        <is>
          <t>① E2 의 0 을 지우고 수식을 넣습니다.
② 채우기 핸들(칸 오른쪽 아래 ■)을 E6 까지 끌어내립니다.</t>
        </is>
      </c>
      <c r="AA5">
        <f>VLOOKUP(D5,$A$2:$B$5,2,FALSE)</f>
        <v/>
      </c>
      <c r="AB5">
        <f>AND(_xlfn.ISFORMULA(E5),IFERROR(ROUND(E5,4)=ROUND(AA5,4),EXACT(E5,AA5)))</f>
        <v/>
      </c>
    </row>
    <row r="6" ht="20" customHeight="1">
      <c r="D6" s="7" t="inlineStr">
        <is>
          <t>A03</t>
        </is>
      </c>
      <c r="E6" s="15" t="n">
        <v>0</v>
      </c>
      <c r="AA6">
        <f>VLOOKUP(D6,$A$2:$B$5,2,FALSE)</f>
        <v/>
      </c>
      <c r="AB6">
        <f>AND(_xlfn.ISFORMULA(E6),IFERROR(ROUND(E6,4)=ROUND(AA6,4),EXACT(E6,AA6)))</f>
        <v/>
      </c>
    </row>
    <row r="7" ht="24" customHeight="1">
      <c r="H7" s="12" t="inlineStr">
        <is>
          <t>채점</t>
        </is>
      </c>
      <c r="I7" s="18">
        <f>IF(NOT(_xlfn.ISFORMULA(E2)),"↖ 0 지우고 수식",IF(COUNTIF(AB2:AB6,TRUE)=5,"✔ 맞음","✘ 다시 ("&amp;COUNTIF(AB2:AB6,TRUE)&amp;" / 5칸)"))</f>
        <v/>
      </c>
      <c r="J7" s="13" t="n"/>
      <c r="K7" s="13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VLOOKUP(찾을값, $범위$, 열번호, FALSE)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1" customWidth="1" min="4" max="4"/>
    <col width="14" customWidth="1" min="5" max="5"/>
    <col width="11" customWidth="1" min="6" max="6"/>
    <col width="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점수</t>
        </is>
      </c>
      <c r="C1" s="12" t="inlineStr">
        <is>
          <t>등급</t>
        </is>
      </c>
      <c r="D1" s="13" t="n"/>
      <c r="E1" s="12" t="inlineStr">
        <is>
          <t>기준점수</t>
        </is>
      </c>
      <c r="F1" s="12" t="inlineStr">
        <is>
          <t>등급</t>
        </is>
      </c>
      <c r="H1" s="14" t="inlineStr">
        <is>
          <t>2번 · VLOOKUP 구간별 등급</t>
        </is>
      </c>
    </row>
    <row r="2" ht="22" customHeight="1">
      <c r="A2" s="7" t="inlineStr">
        <is>
          <t>김하나</t>
        </is>
      </c>
      <c r="B2" s="7" t="n">
        <v>78</v>
      </c>
      <c r="C2" s="15" t="n">
        <v>0</v>
      </c>
      <c r="E2" s="7" t="n">
        <v>0</v>
      </c>
      <c r="F2" s="7" t="inlineStr">
        <is>
          <t>D</t>
        </is>
      </c>
      <c r="H2" s="16" t="inlineStr">
        <is>
          <t>점수[B2:B7]를 기준표[E2:F5]에서 찾아 구간에 해당하는 등급을 [C2:C7]에 표시하시오. (근사값 조회)</t>
        </is>
      </c>
      <c r="AA2">
        <f>VLOOKUP(B2,$E$2:$F$5,2,TRUE)</f>
        <v/>
      </c>
      <c r="AB2">
        <f>AND(_xlfn.ISFORMULA(C2),IFERROR(ROUND(C2,4)=ROUND(AA2,4),EXACT(C2,AA2)))</f>
        <v/>
      </c>
    </row>
    <row r="3" ht="22" customHeight="1">
      <c r="A3" s="7" t="inlineStr">
        <is>
          <t>이두리</t>
        </is>
      </c>
      <c r="B3" s="7" t="n">
        <v>90</v>
      </c>
      <c r="C3" s="15" t="n">
        <v>0</v>
      </c>
      <c r="E3" s="7" t="n">
        <v>60</v>
      </c>
      <c r="F3" s="7" t="inlineStr">
        <is>
          <t>C</t>
        </is>
      </c>
      <c r="AA3">
        <f>VLOOKUP(B3,$E$2:$F$5,2,TRUE)</f>
        <v/>
      </c>
      <c r="AB3">
        <f>AND(_xlfn.ISFORMULA(C3),IFERROR(ROUND(C3,4)=ROUND(AA3,4),EXACT(C3,AA3)))</f>
        <v/>
      </c>
    </row>
    <row r="4" ht="22" customHeight="1">
      <c r="A4" s="7" t="inlineStr">
        <is>
          <t>박세찬</t>
        </is>
      </c>
      <c r="B4" s="7" t="n">
        <v>59</v>
      </c>
      <c r="C4" s="15" t="n">
        <v>0</v>
      </c>
      <c r="E4" s="7" t="n">
        <v>70</v>
      </c>
      <c r="F4" s="7" t="inlineStr">
        <is>
          <t>B</t>
        </is>
      </c>
      <c r="AA4">
        <f>VLOOKUP(B4,$E$2:$F$5,2,TRUE)</f>
        <v/>
      </c>
      <c r="AB4">
        <f>AND(_xlfn.ISFORMULA(C4),IFERROR(ROUND(C4,4)=ROUND(AA4,4),EXACT(C4,AA4)))</f>
        <v/>
      </c>
    </row>
    <row r="5" ht="20" customHeight="1">
      <c r="A5" s="7" t="inlineStr">
        <is>
          <t>최가온</t>
        </is>
      </c>
      <c r="B5" s="7" t="n">
        <v>70</v>
      </c>
      <c r="C5" s="15" t="n">
        <v>0</v>
      </c>
      <c r="E5" s="7" t="n">
        <v>90</v>
      </c>
      <c r="F5" s="7" t="inlineStr">
        <is>
          <t>A</t>
        </is>
      </c>
      <c r="H5" s="17" t="inlineStr">
        <is>
          <t>① C2 의 0 을 지우고 수식을 넣습니다.
② 채우기 핸들(칸 오른쪽 아래 ■)을 C7 까지 끌어내립니다.</t>
        </is>
      </c>
      <c r="AA5">
        <f>VLOOKUP(B5,$E$2:$F$5,2,TRUE)</f>
        <v/>
      </c>
      <c r="AB5">
        <f>AND(_xlfn.ISFORMULA(C5),IFERROR(ROUND(C5,4)=ROUND(AA5,4),EXACT(C5,AA5)))</f>
        <v/>
      </c>
    </row>
    <row r="6" ht="20" customHeight="1">
      <c r="A6" s="7" t="inlineStr">
        <is>
          <t>정바름</t>
        </is>
      </c>
      <c r="B6" s="7" t="n">
        <v>100</v>
      </c>
      <c r="C6" s="15" t="n">
        <v>0</v>
      </c>
      <c r="AA6">
        <f>VLOOKUP(B6,$E$2:$F$5,2,TRUE)</f>
        <v/>
      </c>
      <c r="AB6">
        <f>AND(_xlfn.ISFORMULA(C6),IFERROR(ROUND(C6,4)=ROUND(AA6,4),EXACT(C6,AA6)))</f>
        <v/>
      </c>
    </row>
    <row r="7" ht="24" customHeight="1">
      <c r="A7" s="7" t="inlineStr">
        <is>
          <t>한누리</t>
        </is>
      </c>
      <c r="B7" s="7" t="n">
        <v>69</v>
      </c>
      <c r="C7" s="15" t="n">
        <v>0</v>
      </c>
      <c r="H7" s="12" t="inlineStr">
        <is>
          <t>채점</t>
        </is>
      </c>
      <c r="I7" s="18">
        <f>IF(NOT(_xlfn.ISFORMULA(C2)),"↖ 0 지우고 수식",IF(COUNTIF(AB2:AB7,TRUE)=6,"✔ 맞음","✘ 다시 ("&amp;COUNTIF(AB2:AB7,TRUE)&amp;" / 6칸)"))</f>
        <v/>
      </c>
      <c r="J7" s="13" t="n"/>
      <c r="K7" s="13" t="n"/>
      <c r="AA7">
        <f>VLOOKUP(B7,$E$2:$F$5,2,TRUE)</f>
        <v/>
      </c>
      <c r="AB7">
        <f>AND(_xlfn.ISFORMULA(C7),IFERROR(ROUND(C7,4)=ROUND(AA7,4),EXACT(C7,AA7)))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기준표가 오름차순일 때 네 번째 인수를 TRUE(또는 생략)로 두면 구간 조회가 됩니다.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11" customWidth="1" min="5" max="5"/>
    <col width="3" customWidth="1" min="6" max="6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구분</t>
        </is>
      </c>
      <c r="B1" s="12" t="inlineStr">
        <is>
          <t>1월</t>
        </is>
      </c>
      <c r="C1" s="12" t="inlineStr">
        <is>
          <t>2월</t>
        </is>
      </c>
      <c r="D1" s="12" t="inlineStr">
        <is>
          <t>3월</t>
        </is>
      </c>
      <c r="E1" s="12" t="inlineStr">
        <is>
          <t>4월</t>
        </is>
      </c>
      <c r="H1" s="14" t="inlineStr">
        <is>
          <t>3번 · HLOOKUP 가로 조회</t>
        </is>
      </c>
    </row>
    <row r="2" ht="22" customHeight="1">
      <c r="A2" s="7" t="inlineStr">
        <is>
          <t>매출</t>
        </is>
      </c>
      <c r="B2" s="7" t="n">
        <v>120</v>
      </c>
      <c r="C2" s="7" t="n">
        <v>150</v>
      </c>
      <c r="D2" s="7" t="n">
        <v>180</v>
      </c>
      <c r="E2" s="7" t="n">
        <v>200</v>
      </c>
      <c r="H2" s="16" t="inlineStr">
        <is>
          <t>조회월[B4]을 [A1:E2]의 첫 행에서 정확히 찾아 같은 열의 2행 값을 [D4]에 표시하시오.</t>
        </is>
      </c>
    </row>
    <row r="3" ht="22" customHeight="1"/>
    <row r="4" ht="22" customHeight="1">
      <c r="A4" s="7" t="inlineStr">
        <is>
          <t>조회월</t>
        </is>
      </c>
      <c r="B4" s="7" t="inlineStr">
        <is>
          <t>3월</t>
        </is>
      </c>
      <c r="C4" s="7" t="inlineStr">
        <is>
          <t>매출</t>
        </is>
      </c>
      <c r="D4" s="15" t="n">
        <v>0</v>
      </c>
      <c r="AA4">
        <f>HLOOKUP(B4,$A$1:$E$2,2,FALSE)</f>
        <v/>
      </c>
      <c r="AB4">
        <f>AND(_xlfn.ISFORMULA(D4),IFERROR(ROUND(D4,4)=ROUND(AA4,4),EXACT(D4,AA4)))</f>
        <v/>
      </c>
    </row>
    <row r="5" ht="20" customHeight="1">
      <c r="H5" s="17" t="inlineStr">
        <is>
          <t>D4 의 0 을 지우고 수식을 넣습니다.</t>
        </is>
      </c>
    </row>
    <row r="6" ht="24" customHeight="1">
      <c r="H6" s="12" t="inlineStr">
        <is>
          <t>채점</t>
        </is>
      </c>
      <c r="I6" s="18">
        <f>IF(NOT(_xlfn.ISFORMULA(D4)),"↖ 0 지우고 수식",IF(COUNTIF(AB4:AB4,TRUE)=1,"✔ 맞음","✘ 다시"))</f>
        <v/>
      </c>
      <c r="J6" s="13" t="n"/>
      <c r="K6" s="13" t="n"/>
    </row>
    <row r="8" ht="18" customHeight="1">
      <c r="H8" s="20" t="inlineStr">
        <is>
          <t>💡 막히면: HLOOKUP(찾을값, $범위$, 행번호, FALSE)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제품</t>
        </is>
      </c>
      <c r="B1" s="12" t="inlineStr">
        <is>
          <t>가격</t>
        </is>
      </c>
      <c r="H1" s="14" t="inlineStr">
        <is>
          <t>4번 · INDEX + MATCH</t>
        </is>
      </c>
    </row>
    <row r="2" ht="22" customHeight="1">
      <c r="A2" s="7" t="inlineStr">
        <is>
          <t>키보드</t>
        </is>
      </c>
      <c r="B2" s="7" t="n">
        <v>25000</v>
      </c>
      <c r="H2" s="16" t="inlineStr">
        <is>
          <t>찾을 제품[B5]의 가격을 [B2:B4]에서 찾아 [B6]에 표시하시오. (INDEX와 MATCH를 함께 사용)</t>
        </is>
      </c>
    </row>
    <row r="3" ht="22" customHeight="1">
      <c r="A3" s="7" t="inlineStr">
        <is>
          <t>마우스</t>
        </is>
      </c>
      <c r="B3" s="7" t="n">
        <v>18000</v>
      </c>
    </row>
    <row r="4" ht="22" customHeight="1">
      <c r="A4" s="7" t="inlineStr">
        <is>
          <t>모니터</t>
        </is>
      </c>
      <c r="B4" s="7" t="n">
        <v>210000</v>
      </c>
    </row>
    <row r="5" ht="20" customHeight="1">
      <c r="A5" s="7" t="inlineStr">
        <is>
          <t>찾을 제품</t>
        </is>
      </c>
      <c r="B5" s="7" t="inlineStr">
        <is>
          <t>마우스</t>
        </is>
      </c>
      <c r="H5" s="17" t="inlineStr">
        <is>
          <t>B6 의 0 을 지우고 수식을 넣습니다.</t>
        </is>
      </c>
    </row>
    <row r="6" ht="24" customHeight="1">
      <c r="A6" s="7" t="inlineStr">
        <is>
          <t>조회 가격</t>
        </is>
      </c>
      <c r="B6" s="15" t="n">
        <v>0</v>
      </c>
      <c r="H6" s="12" t="inlineStr">
        <is>
          <t>채점</t>
        </is>
      </c>
      <c r="I6" s="18">
        <f>IF(NOT(_xlfn.ISFORMULA(B6)),"↖ 0 지우고 수식",IF(COUNTIF(AB6:AB6,TRUE)=1,"✔ 맞음","✘ 다시"))</f>
        <v/>
      </c>
      <c r="J6" s="13" t="n"/>
      <c r="K6" s="13" t="n"/>
      <c r="AA6">
        <f>INDEX(B2:B4,MATCH(B5,A2:A4,0))</f>
        <v/>
      </c>
      <c r="AB6">
        <f>AND(_xlfn.ISFORMULA(B6),IFERROR(ROUND(B6,4)=ROUND(AA6,4),EXACT(B6,AA6)))</f>
        <v/>
      </c>
    </row>
    <row r="8" ht="18" customHeight="1">
      <c r="H8" s="20" t="inlineStr">
        <is>
          <t>💡 막히면: MATCH로 몇 번째인지 찾고, INDEX로 그 위치의 값을 가져옵니다.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번호</t>
        </is>
      </c>
      <c r="B1" s="12" t="inlineStr">
        <is>
          <t>요일</t>
        </is>
      </c>
      <c r="H1" s="14" t="inlineStr">
        <is>
          <t>5번 · CHOOSE로 요일 표시</t>
        </is>
      </c>
    </row>
    <row r="2" ht="22" customHeight="1">
      <c r="A2" s="7" t="n">
        <v>3</v>
      </c>
      <c r="B2" s="15" t="n">
        <v>0</v>
      </c>
      <c r="H2" s="16" t="inlineStr">
        <is>
          <t>번호[A2:A7]가 1이면 "월", 2면 "화", 3이면 "수"가 되도록 [B2:B7]에 표시하시오.</t>
        </is>
      </c>
      <c r="AA2">
        <f>CHOOSE(A2,"월","화","수")</f>
        <v/>
      </c>
      <c r="AB2">
        <f>AND(_xlfn.ISFORMULA(B2),IFERROR(ROUND(B2,4)=ROUND(AA2,4),EXACT(B2,AA2)))</f>
        <v/>
      </c>
    </row>
    <row r="3" ht="22" customHeight="1">
      <c r="A3" s="7" t="n">
        <v>1</v>
      </c>
      <c r="B3" s="15" t="n">
        <v>0</v>
      </c>
      <c r="AA3">
        <f>CHOOSE(A3,"월","화","수")</f>
        <v/>
      </c>
      <c r="AB3">
        <f>AND(_xlfn.ISFORMULA(B3),IFERROR(ROUND(B3,4)=ROUND(AA3,4),EXACT(B3,AA3)))</f>
        <v/>
      </c>
    </row>
    <row r="4" ht="22" customHeight="1">
      <c r="A4" s="7" t="n">
        <v>2</v>
      </c>
      <c r="B4" s="15" t="n">
        <v>0</v>
      </c>
      <c r="AA4">
        <f>CHOOSE(A4,"월","화","수")</f>
        <v/>
      </c>
      <c r="AB4">
        <f>AND(_xlfn.ISFORMULA(B4),IFERROR(ROUND(B4,4)=ROUND(AA4,4),EXACT(B4,AA4)))</f>
        <v/>
      </c>
    </row>
    <row r="5" ht="20" customHeight="1">
      <c r="A5" s="7" t="n">
        <v>3</v>
      </c>
      <c r="B5" s="15" t="n">
        <v>0</v>
      </c>
      <c r="H5" s="17" t="inlineStr">
        <is>
          <t>① B2 의 0 을 지우고 수식을 넣습니다.
② 채우기 핸들(칸 오른쪽 아래 ■)을 B7 까지 끌어내립니다.</t>
        </is>
      </c>
      <c r="AA5">
        <f>CHOOSE(A5,"월","화","수")</f>
        <v/>
      </c>
      <c r="AB5">
        <f>AND(_xlfn.ISFORMULA(B5),IFERROR(ROUND(B5,4)=ROUND(AA5,4),EXACT(B5,AA5)))</f>
        <v/>
      </c>
    </row>
    <row r="6" ht="20" customHeight="1">
      <c r="A6" s="7" t="n">
        <v>2</v>
      </c>
      <c r="B6" s="15" t="n">
        <v>0</v>
      </c>
      <c r="AA6">
        <f>CHOOSE(A6,"월","화","수")</f>
        <v/>
      </c>
      <c r="AB6">
        <f>AND(_xlfn.ISFORMULA(B6),IFERROR(ROUND(B6,4)=ROUND(AA6,4),EXACT(B6,AA6)))</f>
        <v/>
      </c>
    </row>
    <row r="7" ht="24" customHeight="1">
      <c r="A7" s="7" t="n">
        <v>1</v>
      </c>
      <c r="B7" s="15" t="n">
        <v>0</v>
      </c>
      <c r="H7" s="12" t="inlineStr">
        <is>
          <t>채점</t>
        </is>
      </c>
      <c r="I7" s="18">
        <f>IF(NOT(_xlfn.ISFORMULA(B2)),"↖ 0 지우고 수식",IF(COUNTIF(AB2:AB7,TRUE)=6,"✔ 맞음","✘ 다시 ("&amp;COUNTIF(AB2:AB7,TRUE)&amp;" / 6칸)"))</f>
        <v/>
      </c>
      <c r="J7" s="13" t="n"/>
      <c r="K7" s="13" t="n"/>
      <c r="AA7">
        <f>CHOOSE(A7,"월","화","수")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CHOOSE(번호, 값1, 값2, 값3 …)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날짜</t>
        </is>
      </c>
      <c r="B1" s="12" t="inlineStr">
        <is>
          <t>요일</t>
        </is>
      </c>
      <c r="H1" s="14" t="inlineStr">
        <is>
          <t>6번 · 날짜의 요일 표시</t>
        </is>
      </c>
    </row>
    <row r="2" ht="22" customHeight="1">
      <c r="A2" s="21" t="n">
        <v>45489</v>
      </c>
      <c r="B2" s="15" t="n">
        <v>0</v>
      </c>
      <c r="H2" s="16" t="inlineStr">
        <is>
          <t>날짜[A2:A7]의 요일을 "월"~"일"로 [B2:B7]에 표시하시오. (WEEKDAY 두 번째 인수 2 사용: 월=1 … 일=7)</t>
        </is>
      </c>
      <c r="AA2">
        <f>CHOOSE(WEEKDAY(A2,2),"월","화","수","목","금","토","일")</f>
        <v/>
      </c>
      <c r="AB2">
        <f>AND(_xlfn.ISFORMULA(B2),IFERROR(ROUND(B2,4)=ROUND(AA2,4),EXACT(B2,AA2)))</f>
        <v/>
      </c>
    </row>
    <row r="3" ht="22" customHeight="1">
      <c r="A3" s="21" t="n">
        <v>45493</v>
      </c>
      <c r="B3" s="15" t="n">
        <v>0</v>
      </c>
      <c r="AA3">
        <f>CHOOSE(WEEKDAY(A3,2),"월","화","수","목","금","토","일")</f>
        <v/>
      </c>
      <c r="AB3">
        <f>AND(_xlfn.ISFORMULA(B3),IFERROR(ROUND(B3,4)=ROUND(AA3,4),EXACT(B3,AA3)))</f>
        <v/>
      </c>
    </row>
    <row r="4" ht="22" customHeight="1">
      <c r="A4" s="21" t="n">
        <v>45494</v>
      </c>
      <c r="B4" s="15" t="n">
        <v>0</v>
      </c>
      <c r="AA4">
        <f>CHOOSE(WEEKDAY(A4,2),"월","화","수","목","금","토","일")</f>
        <v/>
      </c>
      <c r="AB4">
        <f>AND(_xlfn.ISFORMULA(B4),IFERROR(ROUND(B4,4)=ROUND(AA4,4),EXACT(B4,AA4)))</f>
        <v/>
      </c>
    </row>
    <row r="5" ht="20" customHeight="1">
      <c r="A5" s="21" t="n">
        <v>45488</v>
      </c>
      <c r="B5" s="15" t="n">
        <v>0</v>
      </c>
      <c r="H5" s="17" t="inlineStr">
        <is>
          <t>① B2 의 0 을 지우고 수식을 넣습니다.
② 채우기 핸들(칸 오른쪽 아래 ■)을 B7 까지 끌어내립니다.</t>
        </is>
      </c>
      <c r="AA5">
        <f>CHOOSE(WEEKDAY(A5,2),"월","화","수","목","금","토","일")</f>
        <v/>
      </c>
      <c r="AB5">
        <f>AND(_xlfn.ISFORMULA(B5),IFERROR(ROUND(B5,4)=ROUND(AA5,4),EXACT(B5,AA5)))</f>
        <v/>
      </c>
    </row>
    <row r="6" ht="20" customHeight="1">
      <c r="A6" s="21" t="n">
        <v>45491</v>
      </c>
      <c r="B6" s="15" t="n">
        <v>0</v>
      </c>
      <c r="AA6">
        <f>CHOOSE(WEEKDAY(A6,2),"월","화","수","목","금","토","일")</f>
        <v/>
      </c>
      <c r="AB6">
        <f>AND(_xlfn.ISFORMULA(B6),IFERROR(ROUND(B6,4)=ROUND(AA6,4),EXACT(B6,AA6)))</f>
        <v/>
      </c>
    </row>
    <row r="7" ht="24" customHeight="1">
      <c r="A7" s="21" t="n">
        <v>45492</v>
      </c>
      <c r="B7" s="15" t="n">
        <v>0</v>
      </c>
      <c r="H7" s="12" t="inlineStr">
        <is>
          <t>채점</t>
        </is>
      </c>
      <c r="I7" s="18">
        <f>IF(NOT(_xlfn.ISFORMULA(B2)),"↖ 0 지우고 수식",IF(COUNTIF(AB2:AB7,TRUE)=6,"✔ 맞음","✘ 다시 ("&amp;COUNTIF(AB2:AB7,TRUE)&amp;" / 6칸)"))</f>
        <v/>
      </c>
      <c r="J7" s="13" t="n"/>
      <c r="K7" s="13" t="n"/>
      <c r="AA7">
        <f>CHOOSE(WEEKDAY(A7,2),"월","화","수","목","금","토","일")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WEEKDAY로 1~7 숫자를 만들고 CHOOSE로 글자를 고릅니다.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코드</t>
        </is>
      </c>
      <c r="B1" s="12" t="inlineStr">
        <is>
          <t>제품</t>
        </is>
      </c>
      <c r="C1" s="12" t="inlineStr">
        <is>
          <t>단가</t>
        </is>
      </c>
      <c r="H1" s="14" t="inlineStr">
        <is>
          <t>7번 · VLOOKUP으로 단가 찾기</t>
        </is>
      </c>
    </row>
    <row r="2" ht="22" customHeight="1">
      <c r="A2" s="7" t="inlineStr">
        <is>
          <t>A1</t>
        </is>
      </c>
      <c r="B2" s="7" t="inlineStr">
        <is>
          <t>노트북</t>
        </is>
      </c>
      <c r="C2" s="7" t="n">
        <v>1200</v>
      </c>
      <c r="H2" s="16" t="inlineStr">
        <is>
          <t>코드 [A6](A3)에 해당하는 단가를 표[A2:C4]에서 찾아 [C6]에 구하시오. (정확히 일치)</t>
        </is>
      </c>
    </row>
    <row r="3" ht="22" customHeight="1">
      <c r="A3" s="7" t="inlineStr">
        <is>
          <t>A2</t>
        </is>
      </c>
      <c r="B3" s="7" t="inlineStr">
        <is>
          <t>마우스</t>
        </is>
      </c>
      <c r="C3" s="7" t="n">
        <v>20</v>
      </c>
    </row>
    <row r="4" ht="22" customHeight="1">
      <c r="A4" s="7" t="inlineStr">
        <is>
          <t>A3</t>
        </is>
      </c>
      <c r="B4" s="7" t="inlineStr">
        <is>
          <t>모니터</t>
        </is>
      </c>
      <c r="C4" s="7" t="n">
        <v>300</v>
      </c>
    </row>
    <row r="5" ht="20" customHeight="1">
      <c r="H5" s="17" t="inlineStr">
        <is>
          <t>C6 의 0 을 지우고 수식을 넣습니다.</t>
        </is>
      </c>
    </row>
    <row r="6" ht="24" customHeight="1">
      <c r="A6" s="7" t="inlineStr">
        <is>
          <t>A3</t>
        </is>
      </c>
      <c r="C6" s="15" t="n">
        <v>0</v>
      </c>
      <c r="H6" s="12" t="inlineStr">
        <is>
          <t>채점</t>
        </is>
      </c>
      <c r="I6" s="18">
        <f>IF(NOT(_xlfn.ISFORMULA(C6)),"↖ 0 지우고 수식",IF(COUNTIF(AB6:AB6,TRUE)=1,"✔ 맞음","✘ 다시"))</f>
        <v/>
      </c>
      <c r="J6" s="13" t="n"/>
      <c r="K6" s="13" t="n"/>
      <c r="AA6">
        <f>VLOOKUP(A6,A2:C4,3,0)</f>
        <v/>
      </c>
      <c r="AB6">
        <f>AND(_xlfn.ISFORMULA(C6),IFERROR(ROUND(C6,4)=ROUND(AA6,4),EXACT(C6,AA6)))</f>
        <v/>
      </c>
    </row>
    <row r="8" ht="18" customHeight="1">
      <c r="H8" s="20" t="inlineStr">
        <is>
          <t>💡 막히면: VLOOKUP(찾을값, 표, 몇 번째 열, 0) · 0은 정확히 일치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하한</t>
        </is>
      </c>
      <c r="B1" s="12" t="inlineStr">
        <is>
          <t>등급</t>
        </is>
      </c>
      <c r="H1" s="14" t="inlineStr">
        <is>
          <t>8번 · VLOOKUP 구간으로 등급</t>
        </is>
      </c>
    </row>
    <row r="2" ht="22" customHeight="1">
      <c r="A2" s="7" t="n">
        <v>0</v>
      </c>
      <c r="B2" s="7" t="inlineStr">
        <is>
          <t>D</t>
        </is>
      </c>
      <c r="H2" s="16" t="inlineStr">
        <is>
          <t>점수 [A7](83)의 등급을 구간표[A2:B5]에서 찾아 [B7]에 표시하시오.</t>
        </is>
      </c>
    </row>
    <row r="3" ht="22" customHeight="1">
      <c r="A3" s="7" t="n">
        <v>60</v>
      </c>
      <c r="B3" s="7" t="inlineStr">
        <is>
          <t>C</t>
        </is>
      </c>
    </row>
    <row r="4" ht="22" customHeight="1">
      <c r="A4" s="7" t="n">
        <v>80</v>
      </c>
      <c r="B4" s="7" t="inlineStr">
        <is>
          <t>B</t>
        </is>
      </c>
    </row>
    <row r="5" ht="20" customHeight="1">
      <c r="A5" s="7" t="n">
        <v>90</v>
      </c>
      <c r="B5" s="7" t="inlineStr">
        <is>
          <t>A</t>
        </is>
      </c>
      <c r="H5" s="17" t="inlineStr">
        <is>
          <t>B7 의 0 을 지우고 수식을 넣습니다.</t>
        </is>
      </c>
    </row>
    <row r="6" ht="24" customHeight="1">
      <c r="H6" s="12" t="inlineStr">
        <is>
          <t>채점</t>
        </is>
      </c>
      <c r="I6" s="18">
        <f>IF(NOT(_xlfn.ISFORMULA(B7)),"↖ 0 지우고 수식",IF(COUNTIF(AB7:AB7,TRUE)=1,"✔ 맞음","✘ 다시"))</f>
        <v/>
      </c>
      <c r="J6" s="13" t="n"/>
      <c r="K6" s="13" t="n"/>
    </row>
    <row r="7">
      <c r="A7" s="7" t="n">
        <v>83</v>
      </c>
      <c r="B7" s="15" t="n">
        <v>0</v>
      </c>
      <c r="AA7">
        <f>VLOOKUP(A7,A2:B5,2)</f>
        <v/>
      </c>
      <c r="AB7">
        <f>AND(_xlfn.ISFORMULA(B7),IFERROR(ROUND(B7,4)=ROUND(AA7,4),EXACT(B7,AA7)))</f>
        <v/>
      </c>
    </row>
    <row r="8" ht="18" customHeight="1">
      <c r="H8" s="20" t="inlineStr">
        <is>
          <t>💡 막히면: 마지막 인수를 생략하거나 TRUE면 구간(근사값)으로 찾습니다.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" customWidth="1" min="2" max="2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H1" s="14" t="inlineStr">
        <is>
          <t>9번 · MATCH로 몇 번째인지</t>
        </is>
      </c>
    </row>
    <row r="2" ht="22" customHeight="1">
      <c r="A2" s="7" t="inlineStr">
        <is>
          <t>김하늘</t>
        </is>
      </c>
      <c r="H2" s="16" t="inlineStr">
        <is>
          <t>"박구름"이 이름[A2:A5]에서 몇 번째인지 [A6]에 구하시오.</t>
        </is>
      </c>
    </row>
    <row r="3" ht="22" customHeight="1">
      <c r="A3" s="7" t="inlineStr">
        <is>
          <t>이바다</t>
        </is>
      </c>
    </row>
    <row r="4" ht="22" customHeight="1">
      <c r="A4" s="7" t="inlineStr">
        <is>
          <t>박구름</t>
        </is>
      </c>
    </row>
    <row r="5" ht="20" customHeight="1">
      <c r="A5" s="7" t="inlineStr">
        <is>
          <t>최나무</t>
        </is>
      </c>
      <c r="H5" s="17" t="inlineStr">
        <is>
          <t>A6 의 0 을 지우고 수식을 넣습니다.</t>
        </is>
      </c>
    </row>
    <row r="6" ht="24" customHeight="1">
      <c r="A6" s="15" t="n">
        <v>0</v>
      </c>
      <c r="H6" s="12" t="inlineStr">
        <is>
          <t>채점</t>
        </is>
      </c>
      <c r="I6" s="18">
        <f>IF(NOT(_xlfn.ISFORMULA(A6)),"↖ 0 지우고 수식",IF(COUNTIF(AB6:AB6,TRUE)=1,"✔ 맞음","✘ 다시"))</f>
        <v/>
      </c>
      <c r="J6" s="13" t="n"/>
      <c r="K6" s="13" t="n"/>
      <c r="AA6">
        <f>MATCH("박구름",A2:A5,0)</f>
        <v/>
      </c>
      <c r="AB6">
        <f>AND(_xlfn.ISFORMULA(A6),IFERROR(ROUND(A6,4)=ROUND(AA6,4),EXACT(A6,AA6)))</f>
        <v/>
      </c>
    </row>
    <row r="8" ht="18" customHeight="1">
      <c r="H8" s="20" t="inlineStr">
        <is>
          <t>💡 막히면: MATCH(찾을값, 범위, 0) — 0은 정확히 일치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요일번호</t>
        </is>
      </c>
      <c r="B1" s="12" t="inlineStr">
        <is>
          <t>요일</t>
        </is>
      </c>
      <c r="H1" s="14" t="inlineStr">
        <is>
          <t>10번 · CHOOSE로 요일 이름</t>
        </is>
      </c>
    </row>
    <row r="2" ht="22" customHeight="1">
      <c r="A2" s="7" t="n">
        <v>3</v>
      </c>
      <c r="B2" s="15" t="n">
        <v>0</v>
      </c>
      <c r="H2" s="16" t="inlineStr">
        <is>
          <t>요일번호[A2:A7]가 1이면 "월", 2면 "화", 3이면 "수", 4면 "목", 5면 "금"이 되도록 [B2:B7]에 표시하시오.</t>
        </is>
      </c>
      <c r="AA2">
        <f>CHOOSE(A2,"월","화","수","목","금")</f>
        <v/>
      </c>
      <c r="AB2">
        <f>AND(_xlfn.ISFORMULA(B2),IFERROR(ROUND(B2,4)=ROUND(AA2,4),EXACT(B2,AA2)))</f>
        <v/>
      </c>
    </row>
    <row r="3" ht="22" customHeight="1">
      <c r="A3" s="7" t="n">
        <v>1</v>
      </c>
      <c r="B3" s="15" t="n">
        <v>0</v>
      </c>
      <c r="AA3">
        <f>CHOOSE(A3,"월","화","수","목","금")</f>
        <v/>
      </c>
      <c r="AB3">
        <f>AND(_xlfn.ISFORMULA(B3),IFERROR(ROUND(B3,4)=ROUND(AA3,4),EXACT(B3,AA3)))</f>
        <v/>
      </c>
    </row>
    <row r="4" ht="22" customHeight="1">
      <c r="A4" s="7" t="n">
        <v>5</v>
      </c>
      <c r="B4" s="15" t="n">
        <v>0</v>
      </c>
      <c r="AA4">
        <f>CHOOSE(A4,"월","화","수","목","금")</f>
        <v/>
      </c>
      <c r="AB4">
        <f>AND(_xlfn.ISFORMULA(B4),IFERROR(ROUND(B4,4)=ROUND(AA4,4),EXACT(B4,AA4)))</f>
        <v/>
      </c>
    </row>
    <row r="5" ht="20" customHeight="1">
      <c r="A5" s="7" t="n">
        <v>2</v>
      </c>
      <c r="B5" s="15" t="n">
        <v>0</v>
      </c>
      <c r="H5" s="17" t="inlineStr">
        <is>
          <t>① B2 의 0 을 지우고 수식을 넣습니다.
② 채우기 핸들(칸 오른쪽 아래 ■)을 B7 까지 끌어내립니다.</t>
        </is>
      </c>
      <c r="AA5">
        <f>CHOOSE(A5,"월","화","수","목","금")</f>
        <v/>
      </c>
      <c r="AB5">
        <f>AND(_xlfn.ISFORMULA(B5),IFERROR(ROUND(B5,4)=ROUND(AA5,4),EXACT(B5,AA5)))</f>
        <v/>
      </c>
    </row>
    <row r="6" ht="20" customHeight="1">
      <c r="A6" s="7" t="n">
        <v>4</v>
      </c>
      <c r="B6" s="15" t="n">
        <v>0</v>
      </c>
      <c r="AA6">
        <f>CHOOSE(A6,"월","화","수","목","금")</f>
        <v/>
      </c>
      <c r="AB6">
        <f>AND(_xlfn.ISFORMULA(B6),IFERROR(ROUND(B6,4)=ROUND(AA6,4),EXACT(B6,AA6)))</f>
        <v/>
      </c>
    </row>
    <row r="7" ht="24" customHeight="1">
      <c r="A7" s="7" t="n">
        <v>3</v>
      </c>
      <c r="B7" s="15" t="n">
        <v>0</v>
      </c>
      <c r="H7" s="12" t="inlineStr">
        <is>
          <t>채점</t>
        </is>
      </c>
      <c r="I7" s="18">
        <f>IF(NOT(_xlfn.ISFORMULA(B2)),"↖ 0 지우고 수식",IF(COUNTIF(AB2:AB7,TRUE)=6,"✔ 맞음","✘ 다시 ("&amp;COUNTIF(AB2:AB7,TRUE)&amp;" / 6칸)"))</f>
        <v/>
      </c>
      <c r="J7" s="13" t="n"/>
      <c r="K7" s="13" t="n"/>
      <c r="AA7">
        <f>CHOOSE(A7,"월","화","수","목","금")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CHOOSE(번호, 1번값, 2번값 …)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52" customWidth="1" min="4" max="4"/>
    <col width="44" customWidth="1" min="5" max="5"/>
  </cols>
  <sheetData>
    <row r="1" ht="26" customHeight="1">
      <c r="A1" s="5" t="inlineStr">
        <is>
          <t>정답 — 먼저 스스로 풀어 본 뒤에 보세요</t>
        </is>
      </c>
    </row>
    <row r="2" ht="30" customHeight="1">
      <c r="A2" s="22" t="inlineStr">
        <is>
          <t>[넣을 칸] 의 첫 칸에 이 수식을 넣고, 칸이 여러 개면 끝까지 끌어내리면 됩니다.</t>
        </is>
      </c>
    </row>
    <row r="4" ht="24" customHeight="1">
      <c r="A4" s="6" t="inlineStr">
        <is>
          <t>번호</t>
        </is>
      </c>
      <c r="B4" s="6" t="inlineStr">
        <is>
          <t>문제</t>
        </is>
      </c>
      <c r="C4" s="6" t="inlineStr">
        <is>
          <t>넣을 칸</t>
        </is>
      </c>
      <c r="D4" s="6" t="inlineStr">
        <is>
          <t>모범답안 (첫 칸)</t>
        </is>
      </c>
      <c r="E4" s="6" t="inlineStr">
        <is>
          <t>힌트</t>
        </is>
      </c>
    </row>
    <row r="5" ht="30" customHeight="1">
      <c r="A5" s="7" t="n">
        <v>1</v>
      </c>
      <c r="B5" s="8" t="inlineStr">
        <is>
          <t>VLOOKUP 정확히 일치</t>
        </is>
      </c>
      <c r="C5" s="8" t="inlineStr">
        <is>
          <t>E2:E6</t>
        </is>
      </c>
      <c r="D5" s="23" t="inlineStr">
        <is>
          <t>=VLOOKUP(D2,$A$2:$B$5,2,FALSE)</t>
        </is>
      </c>
      <c r="E5" s="24" t="inlineStr">
        <is>
          <t>VLOOKUP(찾을값, $범위$, 열번호, FALSE)</t>
        </is>
      </c>
    </row>
    <row r="6" ht="30" customHeight="1">
      <c r="A6" s="25" t="n">
        <v>2</v>
      </c>
      <c r="B6" s="26" t="inlineStr">
        <is>
          <t>VLOOKUP 구간별 등급</t>
        </is>
      </c>
      <c r="C6" s="26" t="inlineStr">
        <is>
          <t>C2:C7</t>
        </is>
      </c>
      <c r="D6" s="27" t="inlineStr">
        <is>
          <t>=VLOOKUP(B2,$E$2:$F$5,2,TRUE)</t>
        </is>
      </c>
      <c r="E6" s="28" t="inlineStr">
        <is>
          <t>기준표가 오름차순일 때 네 번째 인수를 TRUE(또는 생략)로 두면 구간 조회가 됩니다.</t>
        </is>
      </c>
    </row>
    <row r="7" ht="30" customHeight="1">
      <c r="A7" s="7" t="n">
        <v>3</v>
      </c>
      <c r="B7" s="8" t="inlineStr">
        <is>
          <t>HLOOKUP 가로 조회</t>
        </is>
      </c>
      <c r="C7" s="8" t="inlineStr">
        <is>
          <t>D4</t>
        </is>
      </c>
      <c r="D7" s="23" t="inlineStr">
        <is>
          <t>=HLOOKUP(B4,$A$1:$E$2,2,FALSE)</t>
        </is>
      </c>
      <c r="E7" s="24" t="inlineStr">
        <is>
          <t>HLOOKUP(찾을값, $범위$, 행번호, FALSE)</t>
        </is>
      </c>
    </row>
    <row r="8" ht="30" customHeight="1">
      <c r="A8" s="25" t="n">
        <v>4</v>
      </c>
      <c r="B8" s="26" t="inlineStr">
        <is>
          <t>INDEX + MATCH</t>
        </is>
      </c>
      <c r="C8" s="26" t="inlineStr">
        <is>
          <t>B6</t>
        </is>
      </c>
      <c r="D8" s="27" t="inlineStr">
        <is>
          <t>=INDEX(B2:B4,MATCH(B5,A2:A4,0))</t>
        </is>
      </c>
      <c r="E8" s="28" t="inlineStr">
        <is>
          <t>MATCH로 몇 번째인지 찾고, INDEX로 그 위치의 값을 가져옵니다.</t>
        </is>
      </c>
    </row>
    <row r="9" ht="30" customHeight="1">
      <c r="A9" s="7" t="n">
        <v>5</v>
      </c>
      <c r="B9" s="8" t="inlineStr">
        <is>
          <t>CHOOSE로 요일 표시</t>
        </is>
      </c>
      <c r="C9" s="8" t="inlineStr">
        <is>
          <t>B2:B7</t>
        </is>
      </c>
      <c r="D9" s="23" t="inlineStr">
        <is>
          <t>=CHOOSE(A2,"월","화","수")</t>
        </is>
      </c>
      <c r="E9" s="24" t="inlineStr">
        <is>
          <t>CHOOSE(번호, 값1, 값2, 값3 …)</t>
        </is>
      </c>
    </row>
    <row r="10" ht="30" customHeight="1">
      <c r="A10" s="25" t="n">
        <v>6</v>
      </c>
      <c r="B10" s="26" t="inlineStr">
        <is>
          <t>날짜의 요일 표시</t>
        </is>
      </c>
      <c r="C10" s="26" t="inlineStr">
        <is>
          <t>B2:B7</t>
        </is>
      </c>
      <c r="D10" s="27" t="inlineStr">
        <is>
          <t>=CHOOSE(WEEKDAY(A2,2),"월","화","수","목","금","토","일")</t>
        </is>
      </c>
      <c r="E10" s="28" t="inlineStr">
        <is>
          <t>WEEKDAY로 1~7 숫자를 만들고 CHOOSE로 글자를 고릅니다.</t>
        </is>
      </c>
    </row>
    <row r="11" ht="30" customHeight="1">
      <c r="A11" s="7" t="n">
        <v>7</v>
      </c>
      <c r="B11" s="8" t="inlineStr">
        <is>
          <t>VLOOKUP으로 단가 찾기</t>
        </is>
      </c>
      <c r="C11" s="8" t="inlineStr">
        <is>
          <t>C6</t>
        </is>
      </c>
      <c r="D11" s="23" t="inlineStr">
        <is>
          <t>=VLOOKUP(A6,A2:C4,3,0)</t>
        </is>
      </c>
      <c r="E11" s="24" t="inlineStr">
        <is>
          <t>VLOOKUP(찾을값, 표, 몇 번째 열, 0) · 0은 정확히 일치</t>
        </is>
      </c>
    </row>
    <row r="12" ht="30" customHeight="1">
      <c r="A12" s="25" t="n">
        <v>8</v>
      </c>
      <c r="B12" s="26" t="inlineStr">
        <is>
          <t>VLOOKUP 구간으로 등급</t>
        </is>
      </c>
      <c r="C12" s="26" t="inlineStr">
        <is>
          <t>B7</t>
        </is>
      </c>
      <c r="D12" s="27" t="inlineStr">
        <is>
          <t>=VLOOKUP(A7,A2:B5,2)</t>
        </is>
      </c>
      <c r="E12" s="28" t="inlineStr">
        <is>
          <t>마지막 인수를 생략하거나 TRUE면 구간(근사값)으로 찾습니다.</t>
        </is>
      </c>
    </row>
    <row r="13" ht="30" customHeight="1">
      <c r="A13" s="7" t="n">
        <v>9</v>
      </c>
      <c r="B13" s="8" t="inlineStr">
        <is>
          <t>MATCH로 몇 번째인지</t>
        </is>
      </c>
      <c r="C13" s="8" t="inlineStr">
        <is>
          <t>A6</t>
        </is>
      </c>
      <c r="D13" s="23" t="inlineStr">
        <is>
          <t>=MATCH("박구름",A2:A5,0)</t>
        </is>
      </c>
      <c r="E13" s="24" t="inlineStr">
        <is>
          <t>MATCH(찾을값, 범위, 0) — 0은 정확히 일치</t>
        </is>
      </c>
    </row>
    <row r="14" ht="30" customHeight="1">
      <c r="A14" s="25" t="n">
        <v>10</v>
      </c>
      <c r="B14" s="26" t="inlineStr">
        <is>
          <t>CHOOSE로 요일 이름</t>
        </is>
      </c>
      <c r="C14" s="26" t="inlineStr">
        <is>
          <t>B2:B7</t>
        </is>
      </c>
      <c r="D14" s="27" t="inlineStr">
        <is>
          <t>=CHOOSE(A2,"월","화","수","목","금")</t>
        </is>
      </c>
      <c r="E14" s="28" t="inlineStr">
        <is>
          <t>CHOOSE(번호, 1번값, 2번값 …)</t>
        </is>
      </c>
    </row>
  </sheetData>
  <mergeCells count="2">
    <mergeCell ref="A2:E2"/>
    <mergeCell ref="A1:E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2026-09-28T00:29:28Z</dcterms:created>
  <dcterms:modified xmlns:dcterms="http://purl.org/dc/terms/" xmlns:xsi="http://www.w3.org/2001/XMLSchema-instance" xsi:type="dcterms:W3CDTF">2026-09-28T00:29:28Z</dcterms:modified>
</cp:coreProperties>
</file>