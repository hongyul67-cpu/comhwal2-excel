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DSUM 조건부 합계" sheetId="3" state="visible" r:id="rId3"/>
    <sheet xmlns:r="http://schemas.openxmlformats.org/officeDocument/2006/relationships" name="02 DAVERAGE 조건부 평균" sheetId="4" state="visible" r:id="rId4"/>
    <sheet xmlns:r="http://schemas.openxmlformats.org/officeDocument/2006/relationships" name="03 DCOUNT 조건부 개수" sheetId="5" state="visible" r:id="rId5"/>
    <sheet xmlns:r="http://schemas.openxmlformats.org/officeDocument/2006/relationships" name="04 DMAX 조건부 최댓값" sheetId="6" state="visible" r:id="rId6"/>
    <sheet xmlns:r="http://schemas.openxmlformats.org/officeDocument/2006/relationships" name="05 DMIN 조건부 최솟값" sheetId="7" state="visible" r:id="rId7"/>
    <sheet xmlns:r="http://schemas.openxmlformats.org/officeDocument/2006/relationships" name="06 필드명으로 지정하기" sheetId="8" state="visible" r:id="rId8"/>
    <sheet xmlns:r="http://schemas.openxmlformats.org/officeDocument/2006/relationships" name="07 DSUM으로 부서 합계" sheetId="9" state="visible" r:id="rId9"/>
    <sheet xmlns:r="http://schemas.openxmlformats.org/officeDocument/2006/relationships" name="08 DMIN으로 가장 낮은 값" sheetId="10" state="visible" r:id="rId10"/>
    <sheet xmlns:r="http://schemas.openxmlformats.org/officeDocument/2006/relationships" name="09 DCOUNT는 숫자만 센다" sheetId="11" state="visible" r:id="rId11"/>
    <sheet xmlns:r="http://schemas.openxmlformats.org/officeDocument/2006/relationships" name="정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DB함수 (9문제)</t>
        </is>
      </c>
    </row>
    <row r="3" ht="19" customHeight="1">
      <c r="B3" s="2" t="inlineStr">
        <is>
          <t>웹 「함수 연습소」의 [데이터베이스]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DB함수 9문제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DSUM 조건부 합계</t>
        </is>
      </c>
      <c r="C4" s="7" t="inlineStr">
        <is>
          <t>D9</t>
        </is>
      </c>
      <c r="D4" s="9">
        <f>'01 DSUM 조건부 합계'!I6</f>
        <v/>
      </c>
    </row>
    <row r="5">
      <c r="A5" s="7" t="n">
        <v>2</v>
      </c>
      <c r="B5" s="8" t="inlineStr">
        <is>
          <t>DAVERAGE 조건부 평균</t>
        </is>
      </c>
      <c r="C5" s="7" t="inlineStr">
        <is>
          <t>D9</t>
        </is>
      </c>
      <c r="D5" s="9">
        <f>'02 DAVERAGE 조건부 평균'!I6</f>
        <v/>
      </c>
    </row>
    <row r="6">
      <c r="A6" s="7" t="n">
        <v>3</v>
      </c>
      <c r="B6" s="8" t="inlineStr">
        <is>
          <t>DCOUNT 조건부 개수</t>
        </is>
      </c>
      <c r="C6" s="7" t="inlineStr">
        <is>
          <t>D9</t>
        </is>
      </c>
      <c r="D6" s="9">
        <f>'03 DCOUNT 조건부 개수'!I6</f>
        <v/>
      </c>
    </row>
    <row r="7">
      <c r="A7" s="7" t="n">
        <v>4</v>
      </c>
      <c r="B7" s="8" t="inlineStr">
        <is>
          <t>DMAX 조건부 최댓값</t>
        </is>
      </c>
      <c r="C7" s="7" t="inlineStr">
        <is>
          <t>D9</t>
        </is>
      </c>
      <c r="D7" s="9">
        <f>'04 DMAX 조건부 최댓값'!I6</f>
        <v/>
      </c>
    </row>
    <row r="8">
      <c r="A8" s="7" t="n">
        <v>5</v>
      </c>
      <c r="B8" s="8" t="inlineStr">
        <is>
          <t>DMIN 조건부 최솟값</t>
        </is>
      </c>
      <c r="C8" s="7" t="inlineStr">
        <is>
          <t>D9</t>
        </is>
      </c>
      <c r="D8" s="9">
        <f>'05 DMIN 조건부 최솟값'!I6</f>
        <v/>
      </c>
    </row>
    <row r="9">
      <c r="A9" s="7" t="n">
        <v>6</v>
      </c>
      <c r="B9" s="8" t="inlineStr">
        <is>
          <t>필드명으로 지정하기</t>
        </is>
      </c>
      <c r="C9" s="7" t="inlineStr">
        <is>
          <t>D9</t>
        </is>
      </c>
      <c r="D9" s="9">
        <f>'06 필드명으로 지정하기'!I6</f>
        <v/>
      </c>
    </row>
    <row r="10">
      <c r="A10" s="7" t="n">
        <v>7</v>
      </c>
      <c r="B10" s="8" t="inlineStr">
        <is>
          <t>DSUM으로 부서 합계</t>
        </is>
      </c>
      <c r="C10" s="7" t="inlineStr">
        <is>
          <t>C6</t>
        </is>
      </c>
      <c r="D10" s="9">
        <f>'07 DSUM으로 부서 합계'!I6</f>
        <v/>
      </c>
    </row>
    <row r="11">
      <c r="A11" s="7" t="n">
        <v>8</v>
      </c>
      <c r="B11" s="8" t="inlineStr">
        <is>
          <t>DMIN으로 가장 낮은 값</t>
        </is>
      </c>
      <c r="C11" s="7" t="inlineStr">
        <is>
          <t>C6</t>
        </is>
      </c>
      <c r="D11" s="9">
        <f>'08 DMIN으로 가장 낮은 값'!I6</f>
        <v/>
      </c>
    </row>
    <row r="12">
      <c r="A12" s="7" t="n">
        <v>9</v>
      </c>
      <c r="B12" s="8" t="inlineStr">
        <is>
          <t>DCOUNT는 숫자만 센다</t>
        </is>
      </c>
      <c r="C12" s="7" t="inlineStr">
        <is>
          <t>C6</t>
        </is>
      </c>
      <c r="D12" s="9">
        <f>'09 DCOUNT는 숫자만 센다'!I6</f>
        <v/>
      </c>
    </row>
    <row r="14">
      <c r="B14" s="10" t="inlineStr">
        <is>
          <t>맞은 문제</t>
        </is>
      </c>
      <c r="D14" s="11">
        <f>COUNTIF(D4:D12,"*맞음*")&amp;" / 9"</f>
        <v/>
      </c>
    </row>
  </sheetData>
  <mergeCells count="1">
    <mergeCell ref="A1:D1"/>
  </mergeCells>
  <conditionalFormatting sqref="D4:D12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부서</t>
        </is>
      </c>
      <c r="C1" s="12" t="inlineStr">
        <is>
          <t>직급</t>
        </is>
      </c>
      <c r="D1" s="12" t="inlineStr">
        <is>
          <t>실적</t>
        </is>
      </c>
      <c r="H1" s="13" t="inlineStr">
        <is>
          <t>1번 · DSUM 조건부 합계</t>
        </is>
      </c>
    </row>
    <row r="2" ht="22" customHeight="1">
      <c r="A2" s="7" t="inlineStr">
        <is>
          <t>김철수</t>
        </is>
      </c>
      <c r="B2" s="7" t="inlineStr">
        <is>
          <t>영업</t>
        </is>
      </c>
      <c r="C2" s="7" t="inlineStr">
        <is>
          <t>대리</t>
        </is>
      </c>
      <c r="D2" s="7" t="n">
        <v>300</v>
      </c>
      <c r="H2" s="14" t="inlineStr">
        <is>
          <t>조건 [A7:A8](부서=영업)에 맞는 사원의 실적 합계를 데이터베이스 함수로 [D9]에 구하시오. (데이터 범위 A1:D5)</t>
        </is>
      </c>
    </row>
    <row r="3" ht="22" customHeight="1">
      <c r="A3" s="7" t="inlineStr">
        <is>
          <t>이영희</t>
        </is>
      </c>
      <c r="B3" s="7" t="inlineStr">
        <is>
          <t>기획</t>
        </is>
      </c>
      <c r="C3" s="7" t="inlineStr">
        <is>
          <t>사원</t>
        </is>
      </c>
      <c r="D3" s="7" t="n">
        <v>150</v>
      </c>
    </row>
    <row r="4" ht="22" customHeight="1">
      <c r="A4" s="7" t="inlineStr">
        <is>
          <t>박민수</t>
        </is>
      </c>
      <c r="B4" s="7" t="inlineStr">
        <is>
          <t>영업</t>
        </is>
      </c>
      <c r="C4" s="7" t="inlineStr">
        <is>
          <t>사원</t>
        </is>
      </c>
      <c r="D4" s="7" t="n">
        <v>220</v>
      </c>
    </row>
    <row r="5" ht="20" customHeight="1">
      <c r="A5" s="7" t="inlineStr">
        <is>
          <t>최지우</t>
        </is>
      </c>
      <c r="B5" s="7" t="inlineStr">
        <is>
          <t>영업</t>
        </is>
      </c>
      <c r="C5" s="7" t="inlineStr">
        <is>
          <t>과장</t>
        </is>
      </c>
      <c r="D5" s="7" t="n">
        <v>480</v>
      </c>
      <c r="H5" s="15" t="inlineStr">
        <is>
          <t>D9 의 0 을 지우고 수식을 넣습니다.</t>
        </is>
      </c>
    </row>
    <row r="6" ht="24" customHeight="1">
      <c r="H6" s="12" t="inlineStr">
        <is>
          <t>채점</t>
        </is>
      </c>
      <c r="I6" s="16">
        <f>IF(NOT(_xlfn.ISFORMULA(D9)),"↖ 0 지우고 수식",IF(COUNTIF(AB9:AB9,TRUE)=1,"✔ 맞음","✘ 다시"))</f>
        <v/>
      </c>
      <c r="J6" s="17" t="n"/>
      <c r="K6" s="17" t="n"/>
    </row>
    <row r="7">
      <c r="A7" s="7" t="inlineStr">
        <is>
          <t>부서</t>
        </is>
      </c>
    </row>
    <row r="8" ht="18" customHeight="1">
      <c r="A8" s="7" t="inlineStr">
        <is>
          <t>영업</t>
        </is>
      </c>
      <c r="H8" s="18" t="inlineStr">
        <is>
          <t>💡 막히면: DSUM(전체범위, 필드번호 또는 필드명, 조건범위). 필드번호는 머리글 포함 왼쪽부터 셉니다.</t>
        </is>
      </c>
    </row>
    <row r="9" ht="18" customHeight="1">
      <c r="A9" s="7" t="inlineStr">
        <is>
          <t>영업 실적 합계</t>
        </is>
      </c>
      <c r="D9" s="19" t="n">
        <v>0</v>
      </c>
      <c r="AA9">
        <f>DSUM(A1:D5,4,A7:A8)</f>
        <v/>
      </c>
      <c r="AB9">
        <f>AND(_xlfn.ISFORMULA(D9),IFERROR(ROUND(D9,4)=ROUND(AA9,4),EXACT(D9,AA9)))</f>
        <v/>
      </c>
    </row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부서</t>
        </is>
      </c>
      <c r="C1" s="12" t="inlineStr">
        <is>
          <t>직급</t>
        </is>
      </c>
      <c r="D1" s="12" t="inlineStr">
        <is>
          <t>실적</t>
        </is>
      </c>
      <c r="H1" s="13" t="inlineStr">
        <is>
          <t>2번 · DAVERAGE 조건부 평균</t>
        </is>
      </c>
    </row>
    <row r="2" ht="22" customHeight="1">
      <c r="A2" s="7" t="inlineStr">
        <is>
          <t>김철수</t>
        </is>
      </c>
      <c r="B2" s="7" t="inlineStr">
        <is>
          <t>영업</t>
        </is>
      </c>
      <c r="C2" s="7" t="inlineStr">
        <is>
          <t>대리</t>
        </is>
      </c>
      <c r="D2" s="7" t="n">
        <v>300</v>
      </c>
      <c r="H2" s="14" t="inlineStr">
        <is>
          <t>조건 [A7:A8](부서=영업)에 맞는 사원의 실적 평균을 [D9]에 구하시오. (데이터 범위 A1:D5)</t>
        </is>
      </c>
    </row>
    <row r="3" ht="22" customHeight="1">
      <c r="A3" s="7" t="inlineStr">
        <is>
          <t>이영희</t>
        </is>
      </c>
      <c r="B3" s="7" t="inlineStr">
        <is>
          <t>기획</t>
        </is>
      </c>
      <c r="C3" s="7" t="inlineStr">
        <is>
          <t>사원</t>
        </is>
      </c>
      <c r="D3" s="7" t="n">
        <v>150</v>
      </c>
    </row>
    <row r="4" ht="22" customHeight="1">
      <c r="A4" s="7" t="inlineStr">
        <is>
          <t>박민수</t>
        </is>
      </c>
      <c r="B4" s="7" t="inlineStr">
        <is>
          <t>영업</t>
        </is>
      </c>
      <c r="C4" s="7" t="inlineStr">
        <is>
          <t>사원</t>
        </is>
      </c>
      <c r="D4" s="7" t="n">
        <v>220</v>
      </c>
    </row>
    <row r="5" ht="20" customHeight="1">
      <c r="A5" s="7" t="inlineStr">
        <is>
          <t>최지우</t>
        </is>
      </c>
      <c r="B5" s="7" t="inlineStr">
        <is>
          <t>영업</t>
        </is>
      </c>
      <c r="C5" s="7" t="inlineStr">
        <is>
          <t>과장</t>
        </is>
      </c>
      <c r="D5" s="7" t="n">
        <v>480</v>
      </c>
      <c r="H5" s="15" t="inlineStr">
        <is>
          <t>D9 의 0 을 지우고 수식을 넣습니다.</t>
        </is>
      </c>
    </row>
    <row r="6" ht="24" customHeight="1">
      <c r="H6" s="12" t="inlineStr">
        <is>
          <t>채점</t>
        </is>
      </c>
      <c r="I6" s="16">
        <f>IF(NOT(_xlfn.ISFORMULA(D9)),"↖ 0 지우고 수식",IF(COUNTIF(AB9:AB9,TRUE)=1,"✔ 맞음","✘ 다시"))</f>
        <v/>
      </c>
      <c r="J6" s="17" t="n"/>
      <c r="K6" s="17" t="n"/>
    </row>
    <row r="7">
      <c r="A7" s="7" t="inlineStr">
        <is>
          <t>부서</t>
        </is>
      </c>
    </row>
    <row r="8" ht="18" customHeight="1">
      <c r="A8" s="7" t="inlineStr">
        <is>
          <t>영업</t>
        </is>
      </c>
      <c r="H8" s="18" t="inlineStr">
        <is>
          <t>💡 막히면: DAVERAGE(전체범위, 필드, 조건범위)</t>
        </is>
      </c>
    </row>
    <row r="9" ht="18" customHeight="1">
      <c r="A9" s="7" t="inlineStr">
        <is>
          <t>영업 실적 평균</t>
        </is>
      </c>
      <c r="D9" s="19" t="n">
        <v>0</v>
      </c>
      <c r="AA9">
        <f>DAVERAGE(A1:D5,4,A7:A8)</f>
        <v/>
      </c>
      <c r="AB9">
        <f>AND(_xlfn.ISFORMULA(D9),IFERROR(ROUND(D9,4)=ROUND(AA9,4),EXACT(D9,AA9)))</f>
        <v/>
      </c>
    </row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부서</t>
        </is>
      </c>
      <c r="C1" s="12" t="inlineStr">
        <is>
          <t>직급</t>
        </is>
      </c>
      <c r="D1" s="12" t="inlineStr">
        <is>
          <t>실적</t>
        </is>
      </c>
      <c r="H1" s="13" t="inlineStr">
        <is>
          <t>3번 · DCOUNT 조건부 개수</t>
        </is>
      </c>
    </row>
    <row r="2" ht="22" customHeight="1">
      <c r="A2" s="7" t="inlineStr">
        <is>
          <t>김철수</t>
        </is>
      </c>
      <c r="B2" s="7" t="inlineStr">
        <is>
          <t>영업</t>
        </is>
      </c>
      <c r="C2" s="7" t="inlineStr">
        <is>
          <t>대리</t>
        </is>
      </c>
      <c r="D2" s="7" t="n">
        <v>300</v>
      </c>
      <c r="H2" s="14" t="inlineStr">
        <is>
          <t>조건 [A7:A8](실적 200 이상)에 맞는 인원 수를 데이터베이스 함수로 [D9]에 구하시오. (실적 필드로 계산, 데이터 범위 A1:D5)</t>
        </is>
      </c>
    </row>
    <row r="3" ht="22" customHeight="1">
      <c r="A3" s="7" t="inlineStr">
        <is>
          <t>이영희</t>
        </is>
      </c>
      <c r="B3" s="7" t="inlineStr">
        <is>
          <t>기획</t>
        </is>
      </c>
      <c r="C3" s="7" t="inlineStr">
        <is>
          <t>사원</t>
        </is>
      </c>
      <c r="D3" s="7" t="n">
        <v>150</v>
      </c>
    </row>
    <row r="4" ht="22" customHeight="1">
      <c r="A4" s="7" t="inlineStr">
        <is>
          <t>박민수</t>
        </is>
      </c>
      <c r="B4" s="7" t="inlineStr">
        <is>
          <t>영업</t>
        </is>
      </c>
      <c r="C4" s="7" t="inlineStr">
        <is>
          <t>사원</t>
        </is>
      </c>
      <c r="D4" s="7" t="n">
        <v>220</v>
      </c>
    </row>
    <row r="5" ht="20" customHeight="1">
      <c r="A5" s="7" t="inlineStr">
        <is>
          <t>최지우</t>
        </is>
      </c>
      <c r="B5" s="7" t="inlineStr">
        <is>
          <t>영업</t>
        </is>
      </c>
      <c r="C5" s="7" t="inlineStr">
        <is>
          <t>과장</t>
        </is>
      </c>
      <c r="D5" s="7" t="n">
        <v>480</v>
      </c>
      <c r="H5" s="15" t="inlineStr">
        <is>
          <t>D9 의 0 을 지우고 수식을 넣습니다.</t>
        </is>
      </c>
    </row>
    <row r="6" ht="24" customHeight="1">
      <c r="H6" s="12" t="inlineStr">
        <is>
          <t>채점</t>
        </is>
      </c>
      <c r="I6" s="16">
        <f>IF(NOT(_xlfn.ISFORMULA(D9)),"↖ 0 지우고 수식",IF(COUNTIF(AB9:AB9,TRUE)=1,"✔ 맞음","✘ 다시"))</f>
        <v/>
      </c>
      <c r="J6" s="17" t="n"/>
      <c r="K6" s="17" t="n"/>
    </row>
    <row r="7">
      <c r="A7" s="7" t="inlineStr">
        <is>
          <t>실적</t>
        </is>
      </c>
    </row>
    <row r="8" ht="18" customHeight="1">
      <c r="A8" s="7" t="inlineStr">
        <is>
          <t>&gt;=200</t>
        </is>
      </c>
      <c r="H8" s="18" t="inlineStr">
        <is>
          <t>💡 막히면: DCOUNT는 숫자가 든 셀만 셉니다. 문자 필드는 DCOUNTA를 씁니다.</t>
        </is>
      </c>
    </row>
    <row r="9" ht="18" customHeight="1">
      <c r="A9" s="7" t="inlineStr">
        <is>
          <t>200이상 인원</t>
        </is>
      </c>
      <c r="D9" s="19" t="n">
        <v>0</v>
      </c>
      <c r="AA9">
        <f>DCOUNT(A1:D5,4,A7:A8)</f>
        <v/>
      </c>
      <c r="AB9">
        <f>AND(_xlfn.ISFORMULA(D9),IFERROR(ROUND(D9,4)=ROUND(AA9,4),EXACT(D9,AA9)))</f>
        <v/>
      </c>
    </row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부서</t>
        </is>
      </c>
      <c r="C1" s="12" t="inlineStr">
        <is>
          <t>직급</t>
        </is>
      </c>
      <c r="D1" s="12" t="inlineStr">
        <is>
          <t>실적</t>
        </is>
      </c>
      <c r="H1" s="13" t="inlineStr">
        <is>
          <t>4번 · DMAX 조건부 최댓값</t>
        </is>
      </c>
    </row>
    <row r="2" ht="22" customHeight="1">
      <c r="A2" s="7" t="inlineStr">
        <is>
          <t>김철수</t>
        </is>
      </c>
      <c r="B2" s="7" t="inlineStr">
        <is>
          <t>영업</t>
        </is>
      </c>
      <c r="C2" s="7" t="inlineStr">
        <is>
          <t>대리</t>
        </is>
      </c>
      <c r="D2" s="7" t="n">
        <v>300</v>
      </c>
      <c r="H2" s="14" t="inlineStr">
        <is>
          <t>조건 [A7:A8](부서=영업)에 맞는 사원 중 실적 최댓값을 [D9]에 구하시오. (데이터 범위 A1:D5)</t>
        </is>
      </c>
    </row>
    <row r="3" ht="22" customHeight="1">
      <c r="A3" s="7" t="inlineStr">
        <is>
          <t>이영희</t>
        </is>
      </c>
      <c r="B3" s="7" t="inlineStr">
        <is>
          <t>기획</t>
        </is>
      </c>
      <c r="C3" s="7" t="inlineStr">
        <is>
          <t>사원</t>
        </is>
      </c>
      <c r="D3" s="7" t="n">
        <v>150</v>
      </c>
    </row>
    <row r="4" ht="22" customHeight="1">
      <c r="A4" s="7" t="inlineStr">
        <is>
          <t>박민수</t>
        </is>
      </c>
      <c r="B4" s="7" t="inlineStr">
        <is>
          <t>영업</t>
        </is>
      </c>
      <c r="C4" s="7" t="inlineStr">
        <is>
          <t>사원</t>
        </is>
      </c>
      <c r="D4" s="7" t="n">
        <v>220</v>
      </c>
    </row>
    <row r="5" ht="20" customHeight="1">
      <c r="A5" s="7" t="inlineStr">
        <is>
          <t>최지우</t>
        </is>
      </c>
      <c r="B5" s="7" t="inlineStr">
        <is>
          <t>영업</t>
        </is>
      </c>
      <c r="C5" s="7" t="inlineStr">
        <is>
          <t>과장</t>
        </is>
      </c>
      <c r="D5" s="7" t="n">
        <v>480</v>
      </c>
      <c r="H5" s="15" t="inlineStr">
        <is>
          <t>D9 의 0 을 지우고 수식을 넣습니다.</t>
        </is>
      </c>
    </row>
    <row r="6" ht="24" customHeight="1">
      <c r="H6" s="12" t="inlineStr">
        <is>
          <t>채점</t>
        </is>
      </c>
      <c r="I6" s="16">
        <f>IF(NOT(_xlfn.ISFORMULA(D9)),"↖ 0 지우고 수식",IF(COUNTIF(AB9:AB9,TRUE)=1,"✔ 맞음","✘ 다시"))</f>
        <v/>
      </c>
      <c r="J6" s="17" t="n"/>
      <c r="K6" s="17" t="n"/>
    </row>
    <row r="7">
      <c r="A7" s="7" t="inlineStr">
        <is>
          <t>부서</t>
        </is>
      </c>
    </row>
    <row r="8" ht="18" customHeight="1">
      <c r="A8" s="7" t="inlineStr">
        <is>
          <t>영업</t>
        </is>
      </c>
      <c r="H8" s="18" t="inlineStr">
        <is>
          <t>💡 막히면: DMAX(전체범위, 필드, 조건범위). 최솟값은 DMIN.</t>
        </is>
      </c>
    </row>
    <row r="9" ht="18" customHeight="1">
      <c r="A9" s="7" t="inlineStr">
        <is>
          <t>영업 최고실적</t>
        </is>
      </c>
      <c r="D9" s="19" t="n">
        <v>0</v>
      </c>
      <c r="AA9">
        <f>DMAX(A1:D5,4,A7:A8)</f>
        <v/>
      </c>
      <c r="AB9">
        <f>AND(_xlfn.ISFORMULA(D9),IFERROR(ROUND(D9,4)=ROUND(AA9,4),EXACT(D9,AA9)))</f>
        <v/>
      </c>
    </row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부서</t>
        </is>
      </c>
      <c r="C1" s="12" t="inlineStr">
        <is>
          <t>직급</t>
        </is>
      </c>
      <c r="D1" s="12" t="inlineStr">
        <is>
          <t>실적</t>
        </is>
      </c>
      <c r="H1" s="13" t="inlineStr">
        <is>
          <t>5번 · DMIN 조건부 최솟값</t>
        </is>
      </c>
    </row>
    <row r="2" ht="22" customHeight="1">
      <c r="A2" s="7" t="inlineStr">
        <is>
          <t>김철수</t>
        </is>
      </c>
      <c r="B2" s="7" t="inlineStr">
        <is>
          <t>영업</t>
        </is>
      </c>
      <c r="C2" s="7" t="inlineStr">
        <is>
          <t>대리</t>
        </is>
      </c>
      <c r="D2" s="7" t="n">
        <v>300</v>
      </c>
      <c r="H2" s="14" t="inlineStr">
        <is>
          <t>조건 [A7:A8](직급=사원)에 맞는 사람 중 실적 최솟값을 [D9]에 구하시오. (데이터 범위 A1:D5)</t>
        </is>
      </c>
    </row>
    <row r="3" ht="22" customHeight="1">
      <c r="A3" s="7" t="inlineStr">
        <is>
          <t>이영희</t>
        </is>
      </c>
      <c r="B3" s="7" t="inlineStr">
        <is>
          <t>기획</t>
        </is>
      </c>
      <c r="C3" s="7" t="inlineStr">
        <is>
          <t>사원</t>
        </is>
      </c>
      <c r="D3" s="7" t="n">
        <v>150</v>
      </c>
    </row>
    <row r="4" ht="22" customHeight="1">
      <c r="A4" s="7" t="inlineStr">
        <is>
          <t>박민수</t>
        </is>
      </c>
      <c r="B4" s="7" t="inlineStr">
        <is>
          <t>영업</t>
        </is>
      </c>
      <c r="C4" s="7" t="inlineStr">
        <is>
          <t>사원</t>
        </is>
      </c>
      <c r="D4" s="7" t="n">
        <v>220</v>
      </c>
    </row>
    <row r="5" ht="20" customHeight="1">
      <c r="A5" s="7" t="inlineStr">
        <is>
          <t>최지우</t>
        </is>
      </c>
      <c r="B5" s="7" t="inlineStr">
        <is>
          <t>영업</t>
        </is>
      </c>
      <c r="C5" s="7" t="inlineStr">
        <is>
          <t>과장</t>
        </is>
      </c>
      <c r="D5" s="7" t="n">
        <v>480</v>
      </c>
      <c r="H5" s="15" t="inlineStr">
        <is>
          <t>D9 의 0 을 지우고 수식을 넣습니다.</t>
        </is>
      </c>
    </row>
    <row r="6" ht="24" customHeight="1">
      <c r="H6" s="12" t="inlineStr">
        <is>
          <t>채점</t>
        </is>
      </c>
      <c r="I6" s="16">
        <f>IF(NOT(_xlfn.ISFORMULA(D9)),"↖ 0 지우고 수식",IF(COUNTIF(AB9:AB9,TRUE)=1,"✔ 맞음","✘ 다시"))</f>
        <v/>
      </c>
      <c r="J6" s="17" t="n"/>
      <c r="K6" s="17" t="n"/>
    </row>
    <row r="7">
      <c r="A7" s="7" t="inlineStr">
        <is>
          <t>직급</t>
        </is>
      </c>
    </row>
    <row r="8" ht="18" customHeight="1">
      <c r="A8" s="7" t="inlineStr">
        <is>
          <t>사원</t>
        </is>
      </c>
      <c r="H8" s="18" t="inlineStr">
        <is>
          <t>💡 막히면: DMIN(전체범위, 필드, 조건범위)</t>
        </is>
      </c>
    </row>
    <row r="9" ht="18" customHeight="1">
      <c r="A9" s="7" t="inlineStr">
        <is>
          <t>사원 최저실적</t>
        </is>
      </c>
      <c r="D9" s="19" t="n">
        <v>0</v>
      </c>
      <c r="AA9">
        <f>DMIN(A1:D5,4,A7:A8)</f>
        <v/>
      </c>
      <c r="AB9">
        <f>AND(_xlfn.ISFORMULA(D9),IFERROR(ROUND(D9,4)=ROUND(AA9,4),EXACT(D9,AA9)))</f>
        <v/>
      </c>
    </row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분류</t>
        </is>
      </c>
      <c r="C1" s="12" t="inlineStr">
        <is>
          <t>수량</t>
        </is>
      </c>
      <c r="D1" s="12" t="inlineStr">
        <is>
          <t>금액</t>
        </is>
      </c>
      <c r="H1" s="13" t="inlineStr">
        <is>
          <t>6번 · 필드명으로 지정하기</t>
        </is>
      </c>
    </row>
    <row r="2" ht="22" customHeight="1">
      <c r="A2" s="7" t="inlineStr">
        <is>
          <t>냉장고</t>
        </is>
      </c>
      <c r="B2" s="7" t="inlineStr">
        <is>
          <t>가전</t>
        </is>
      </c>
      <c r="C2" s="7" t="n">
        <v>3</v>
      </c>
      <c r="D2" s="7" t="n">
        <v>2400</v>
      </c>
      <c r="H2" s="14" t="inlineStr">
        <is>
          <t>조건 [A7:A8](분류=가전)에 맞는 금액 합계를 구하되, 두 번째 인수를 필드명 셀[D1]로 지정해 [D9]에 표시하시오.</t>
        </is>
      </c>
    </row>
    <row r="3" ht="22" customHeight="1">
      <c r="A3" s="7" t="inlineStr">
        <is>
          <t>책상</t>
        </is>
      </c>
      <c r="B3" s="7" t="inlineStr">
        <is>
          <t>가구</t>
        </is>
      </c>
      <c r="C3" s="7" t="n">
        <v>5</v>
      </c>
      <c r="D3" s="7" t="n">
        <v>750</v>
      </c>
    </row>
    <row r="4" ht="22" customHeight="1">
      <c r="A4" s="7" t="inlineStr">
        <is>
          <t>세탁기</t>
        </is>
      </c>
      <c r="B4" s="7" t="inlineStr">
        <is>
          <t>가전</t>
        </is>
      </c>
      <c r="C4" s="7" t="n">
        <v>2</v>
      </c>
      <c r="D4" s="7" t="n">
        <v>1600</v>
      </c>
    </row>
    <row r="5" ht="20" customHeight="1">
      <c r="A5" s="7" t="inlineStr">
        <is>
          <t>의자</t>
        </is>
      </c>
      <c r="B5" s="7" t="inlineStr">
        <is>
          <t>가구</t>
        </is>
      </c>
      <c r="C5" s="7" t="n">
        <v>8</v>
      </c>
      <c r="D5" s="7" t="n">
        <v>640</v>
      </c>
      <c r="H5" s="15" t="inlineStr">
        <is>
          <t>D9 의 0 을 지우고 수식을 넣습니다.</t>
        </is>
      </c>
    </row>
    <row r="6" ht="24" customHeight="1">
      <c r="H6" s="12" t="inlineStr">
        <is>
          <t>채점</t>
        </is>
      </c>
      <c r="I6" s="16">
        <f>IF(NOT(_xlfn.ISFORMULA(D9)),"↖ 0 지우고 수식",IF(COUNTIF(AB9:AB9,TRUE)=1,"✔ 맞음","✘ 다시"))</f>
        <v/>
      </c>
      <c r="J6" s="17" t="n"/>
      <c r="K6" s="17" t="n"/>
    </row>
    <row r="7">
      <c r="A7" s="7" t="inlineStr">
        <is>
          <t>분류</t>
        </is>
      </c>
    </row>
    <row r="8" ht="18" customHeight="1">
      <c r="A8" s="7" t="inlineStr">
        <is>
          <t>가전</t>
        </is>
      </c>
      <c r="H8" s="18" t="inlineStr">
        <is>
          <t>💡 막히면: 필드는 번호(4) 대신 머리글 셀(D1)이나 "금액"으로도 지정할 수 있습니다.</t>
        </is>
      </c>
    </row>
    <row r="9" ht="18" customHeight="1">
      <c r="A9" s="7" t="inlineStr">
        <is>
          <t>가전 금액 합계</t>
        </is>
      </c>
      <c r="D9" s="19" t="n">
        <v>0</v>
      </c>
      <c r="AA9">
        <f>DSUM(A1:D5,D1,A7:A8)</f>
        <v/>
      </c>
      <c r="AB9">
        <f>AND(_xlfn.ISFORMULA(D9),IFERROR(ROUND(D9,4)=ROUND(AA9,4),EXACT(D9,AA9)))</f>
        <v/>
      </c>
    </row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부서</t>
        </is>
      </c>
      <c r="C1" s="12" t="inlineStr">
        <is>
          <t>실적</t>
        </is>
      </c>
      <c r="H1" s="13" t="inlineStr">
        <is>
          <t>7번 · DSUM으로 부서 합계</t>
        </is>
      </c>
    </row>
    <row r="2" ht="22" customHeight="1">
      <c r="A2" s="7" t="inlineStr">
        <is>
          <t>김하늘</t>
        </is>
      </c>
      <c r="B2" s="7" t="inlineStr">
        <is>
          <t>영업</t>
        </is>
      </c>
      <c r="C2" s="7" t="n">
        <v>320</v>
      </c>
      <c r="H2" s="14" t="inlineStr">
        <is>
          <t>조건 범위 [A7:A8](부서=영업)을 이용해 실적 합계를 [C6]에 구하시오.</t>
        </is>
      </c>
    </row>
    <row r="3" ht="22" customHeight="1">
      <c r="A3" s="7" t="inlineStr">
        <is>
          <t>이바다</t>
        </is>
      </c>
      <c r="B3" s="7" t="inlineStr">
        <is>
          <t>총무</t>
        </is>
      </c>
      <c r="C3" s="7" t="n">
        <v>180</v>
      </c>
    </row>
    <row r="4" ht="22" customHeight="1">
      <c r="A4" s="7" t="inlineStr">
        <is>
          <t>박구름</t>
        </is>
      </c>
      <c r="B4" s="7" t="inlineStr">
        <is>
          <t>영업</t>
        </is>
      </c>
      <c r="C4" s="7" t="n">
        <v>410</v>
      </c>
    </row>
    <row r="5" ht="20" customHeight="1">
      <c r="A5" s="7" t="inlineStr">
        <is>
          <t>최나무</t>
        </is>
      </c>
      <c r="B5" s="7" t="inlineStr">
        <is>
          <t>총무</t>
        </is>
      </c>
      <c r="C5" s="7" t="n">
        <v>250</v>
      </c>
      <c r="H5" s="15" t="inlineStr">
        <is>
          <t>C6 의 0 을 지우고 수식을 넣습니다.</t>
        </is>
      </c>
    </row>
    <row r="6" ht="24" customHeight="1">
      <c r="C6" s="19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DSUM(A1:C5,3,A7:A8)</f>
        <v/>
      </c>
      <c r="AB6">
        <f>AND(_xlfn.ISFORMULA(C6),IFERROR(ROUND(C6,4)=ROUND(AA6,4),EXACT(C6,AA6)))</f>
        <v/>
      </c>
    </row>
    <row r="7">
      <c r="A7" s="7" t="inlineStr">
        <is>
          <t>부서</t>
        </is>
      </c>
    </row>
    <row r="8" ht="18" customHeight="1">
      <c r="A8" s="7" t="inlineStr">
        <is>
          <t>영업</t>
        </is>
      </c>
      <c r="H8" s="18" t="inlineStr">
        <is>
          <t>💡 막히면: DSUM(전체표(머리글 포함), 계산할 열, 조건범위)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반</t>
        </is>
      </c>
      <c r="C1" s="12" t="inlineStr">
        <is>
          <t>점수</t>
        </is>
      </c>
      <c r="H1" s="13" t="inlineStr">
        <is>
          <t>8번 · DMIN으로 가장 낮은 값</t>
        </is>
      </c>
    </row>
    <row r="2" ht="22" customHeight="1">
      <c r="A2" s="7" t="inlineStr">
        <is>
          <t>김하늘</t>
        </is>
      </c>
      <c r="B2" s="7" t="inlineStr">
        <is>
          <t>1반</t>
        </is>
      </c>
      <c r="C2" s="7" t="n">
        <v>80</v>
      </c>
      <c r="H2" s="14" t="inlineStr">
        <is>
          <t>조건 범위 [A7:A8](반=2반)에 맞는 가장 낮은 점수를 [C6]에 구하시오.</t>
        </is>
      </c>
    </row>
    <row r="3" ht="22" customHeight="1">
      <c r="A3" s="7" t="inlineStr">
        <is>
          <t>이바다</t>
        </is>
      </c>
      <c r="B3" s="7" t="inlineStr">
        <is>
          <t>2반</t>
        </is>
      </c>
      <c r="C3" s="7" t="n">
        <v>70</v>
      </c>
    </row>
    <row r="4" ht="22" customHeight="1">
      <c r="A4" s="7" t="inlineStr">
        <is>
          <t>박구름</t>
        </is>
      </c>
      <c r="B4" s="7" t="inlineStr">
        <is>
          <t>1반</t>
        </is>
      </c>
      <c r="C4" s="7" t="n">
        <v>95</v>
      </c>
    </row>
    <row r="5" ht="20" customHeight="1">
      <c r="A5" s="7" t="inlineStr">
        <is>
          <t>최나무</t>
        </is>
      </c>
      <c r="B5" s="7" t="inlineStr">
        <is>
          <t>2반</t>
        </is>
      </c>
      <c r="C5" s="7" t="n">
        <v>55</v>
      </c>
      <c r="H5" s="15" t="inlineStr">
        <is>
          <t>C6 의 0 을 지우고 수식을 넣습니다.</t>
        </is>
      </c>
    </row>
    <row r="6" ht="24" customHeight="1">
      <c r="C6" s="19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DMIN(A1:C5,3,A7:A8)</f>
        <v/>
      </c>
      <c r="AB6">
        <f>AND(_xlfn.ISFORMULA(C6),IFERROR(ROUND(C6,4)=ROUND(AA6,4),EXACT(C6,AA6)))</f>
        <v/>
      </c>
    </row>
    <row r="7">
      <c r="A7" s="7" t="inlineStr">
        <is>
          <t>반</t>
        </is>
      </c>
    </row>
    <row r="8" ht="18" customHeight="1">
      <c r="A8" s="7" t="inlineStr">
        <is>
          <t>2반</t>
        </is>
      </c>
      <c r="H8" s="18" t="inlineStr">
        <is>
          <t>💡 막히면: 가장 높은 값은 DMAX입니다.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반</t>
        </is>
      </c>
      <c r="C1" s="12" t="inlineStr">
        <is>
          <t>점수</t>
        </is>
      </c>
      <c r="H1" s="13" t="inlineStr">
        <is>
          <t>9번 · DCOUNT는 숫자만 센다</t>
        </is>
      </c>
    </row>
    <row r="2" ht="22" customHeight="1">
      <c r="A2" s="7" t="inlineStr">
        <is>
          <t>김하늘</t>
        </is>
      </c>
      <c r="B2" s="7" t="inlineStr">
        <is>
          <t>1반</t>
        </is>
      </c>
      <c r="C2" s="7" t="n">
        <v>80</v>
      </c>
      <c r="H2" s="14" t="inlineStr">
        <is>
          <t>조건 범위 [A7:A8](반=1반)에 맞는 점수가 입력된 사람 수를 [C6]에 구하시오. (DCOUNT 사용)</t>
        </is>
      </c>
    </row>
    <row r="3" ht="22" customHeight="1">
      <c r="A3" s="7" t="inlineStr">
        <is>
          <t>이바다</t>
        </is>
      </c>
      <c r="B3" s="7" t="inlineStr">
        <is>
          <t>1반</t>
        </is>
      </c>
      <c r="C3" s="7" t="n">
        <v>70</v>
      </c>
    </row>
    <row r="4" ht="22" customHeight="1">
      <c r="A4" s="7" t="inlineStr">
        <is>
          <t>박구름</t>
        </is>
      </c>
      <c r="B4" s="7" t="inlineStr">
        <is>
          <t>1반</t>
        </is>
      </c>
      <c r="C4" s="7" t="n">
        <v>95</v>
      </c>
    </row>
    <row r="5" ht="20" customHeight="1">
      <c r="A5" s="7" t="inlineStr">
        <is>
          <t>최나무</t>
        </is>
      </c>
      <c r="B5" s="7" t="inlineStr">
        <is>
          <t>2반</t>
        </is>
      </c>
      <c r="C5" s="7" t="n">
        <v>55</v>
      </c>
      <c r="H5" s="15" t="inlineStr">
        <is>
          <t>C6 의 0 을 지우고 수식을 넣습니다.</t>
        </is>
      </c>
    </row>
    <row r="6" ht="24" customHeight="1">
      <c r="C6" s="19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DCOUNT(A1:C5,3,A7:A8)</f>
        <v/>
      </c>
      <c r="AB6">
        <f>AND(_xlfn.ISFORMULA(C6),IFERROR(ROUND(C6,4)=ROUND(AA6,4),EXACT(C6,AA6)))</f>
        <v/>
      </c>
    </row>
    <row r="7">
      <c r="A7" s="7" t="inlineStr">
        <is>
          <t>반</t>
        </is>
      </c>
    </row>
    <row r="8" ht="18" customHeight="1">
      <c r="A8" s="7" t="inlineStr">
        <is>
          <t>1반</t>
        </is>
      </c>
      <c r="H8" s="18" t="inlineStr">
        <is>
          <t>💡 막히면: DCOUNT는 지정한 열에 숫자가 든 것만 셉니다.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0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DSUM 조건부 합계</t>
        </is>
      </c>
      <c r="C5" s="8" t="inlineStr">
        <is>
          <t>D9</t>
        </is>
      </c>
      <c r="D5" s="21" t="inlineStr">
        <is>
          <t>=DSUM(A1:D5,4,A7:A8)</t>
        </is>
      </c>
      <c r="E5" s="22" t="inlineStr">
        <is>
          <t>DSUM(전체범위, 필드번호 또는 필드명, 조건범위). 필드번호는 머리글 포함 왼쪽부터 셉니다.</t>
        </is>
      </c>
    </row>
    <row r="6" ht="30" customHeight="1">
      <c r="A6" s="23" t="n">
        <v>2</v>
      </c>
      <c r="B6" s="24" t="inlineStr">
        <is>
          <t>DAVERAGE 조건부 평균</t>
        </is>
      </c>
      <c r="C6" s="24" t="inlineStr">
        <is>
          <t>D9</t>
        </is>
      </c>
      <c r="D6" s="25" t="inlineStr">
        <is>
          <t>=DAVERAGE(A1:D5,4,A7:A8)</t>
        </is>
      </c>
      <c r="E6" s="26" t="inlineStr">
        <is>
          <t>DAVERAGE(전체범위, 필드, 조건범위)</t>
        </is>
      </c>
    </row>
    <row r="7" ht="30" customHeight="1">
      <c r="A7" s="7" t="n">
        <v>3</v>
      </c>
      <c r="B7" s="8" t="inlineStr">
        <is>
          <t>DCOUNT 조건부 개수</t>
        </is>
      </c>
      <c r="C7" s="8" t="inlineStr">
        <is>
          <t>D9</t>
        </is>
      </c>
      <c r="D7" s="21" t="inlineStr">
        <is>
          <t>=DCOUNT(A1:D5,4,A7:A8)</t>
        </is>
      </c>
      <c r="E7" s="22" t="inlineStr">
        <is>
          <t>DCOUNT는 숫자가 든 셀만 셉니다. 문자 필드는 DCOUNTA를 씁니다.</t>
        </is>
      </c>
    </row>
    <row r="8" ht="30" customHeight="1">
      <c r="A8" s="23" t="n">
        <v>4</v>
      </c>
      <c r="B8" s="24" t="inlineStr">
        <is>
          <t>DMAX 조건부 최댓값</t>
        </is>
      </c>
      <c r="C8" s="24" t="inlineStr">
        <is>
          <t>D9</t>
        </is>
      </c>
      <c r="D8" s="25" t="inlineStr">
        <is>
          <t>=DMAX(A1:D5,4,A7:A8)</t>
        </is>
      </c>
      <c r="E8" s="26" t="inlineStr">
        <is>
          <t>DMAX(전체범위, 필드, 조건범위). 최솟값은 DMIN.</t>
        </is>
      </c>
    </row>
    <row r="9" ht="30" customHeight="1">
      <c r="A9" s="7" t="n">
        <v>5</v>
      </c>
      <c r="B9" s="8" t="inlineStr">
        <is>
          <t>DMIN 조건부 최솟값</t>
        </is>
      </c>
      <c r="C9" s="8" t="inlineStr">
        <is>
          <t>D9</t>
        </is>
      </c>
      <c r="D9" s="21" t="inlineStr">
        <is>
          <t>=DMIN(A1:D5,4,A7:A8)</t>
        </is>
      </c>
      <c r="E9" s="22" t="inlineStr">
        <is>
          <t>DMIN(전체범위, 필드, 조건범위)</t>
        </is>
      </c>
    </row>
    <row r="10" ht="30" customHeight="1">
      <c r="A10" s="23" t="n">
        <v>6</v>
      </c>
      <c r="B10" s="24" t="inlineStr">
        <is>
          <t>필드명으로 지정하기</t>
        </is>
      </c>
      <c r="C10" s="24" t="inlineStr">
        <is>
          <t>D9</t>
        </is>
      </c>
      <c r="D10" s="25" t="inlineStr">
        <is>
          <t>=DSUM(A1:D5,D1,A7:A8)</t>
        </is>
      </c>
      <c r="E10" s="26" t="inlineStr">
        <is>
          <t>필드는 번호(4) 대신 머리글 셀(D1)이나 "금액"으로도 지정할 수 있습니다.</t>
        </is>
      </c>
    </row>
    <row r="11" ht="30" customHeight="1">
      <c r="A11" s="7" t="n">
        <v>7</v>
      </c>
      <c r="B11" s="8" t="inlineStr">
        <is>
          <t>DSUM으로 부서 합계</t>
        </is>
      </c>
      <c r="C11" s="8" t="inlineStr">
        <is>
          <t>C6</t>
        </is>
      </c>
      <c r="D11" s="21" t="inlineStr">
        <is>
          <t>=DSUM(A1:C5,3,A7:A8)</t>
        </is>
      </c>
      <c r="E11" s="22" t="inlineStr">
        <is>
          <t>DSUM(전체표(머리글 포함), 계산할 열, 조건범위)</t>
        </is>
      </c>
    </row>
    <row r="12" ht="30" customHeight="1">
      <c r="A12" s="23" t="n">
        <v>8</v>
      </c>
      <c r="B12" s="24" t="inlineStr">
        <is>
          <t>DMIN으로 가장 낮은 값</t>
        </is>
      </c>
      <c r="C12" s="24" t="inlineStr">
        <is>
          <t>C6</t>
        </is>
      </c>
      <c r="D12" s="25" t="inlineStr">
        <is>
          <t>=DMIN(A1:C5,3,A7:A8)</t>
        </is>
      </c>
      <c r="E12" s="26" t="inlineStr">
        <is>
          <t>가장 높은 값은 DMAX입니다.</t>
        </is>
      </c>
    </row>
    <row r="13" ht="30" customHeight="1">
      <c r="A13" s="7" t="n">
        <v>9</v>
      </c>
      <c r="B13" s="8" t="inlineStr">
        <is>
          <t>DCOUNT는 숫자만 센다</t>
        </is>
      </c>
      <c r="C13" s="8" t="inlineStr">
        <is>
          <t>C6</t>
        </is>
      </c>
      <c r="D13" s="21" t="inlineStr">
        <is>
          <t>=DCOUNT(A1:C5,3,A7:A8)</t>
        </is>
      </c>
      <c r="E13" s="22" t="inlineStr">
        <is>
          <t>DCOUNT는 지정한 열에 숫자가 든 것만 셉니다.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2026-09-28T00:29:29Z</dcterms:created>
  <dcterms:modified xmlns:dcterms="http://purl.org/dc/terms/" xmlns:xsi="http://www.w3.org/2001/XMLSchema-instance" xsi:type="dcterms:W3CDTF">2026-09-28T00:29:29Z</dcterms:modified>
</cp:coreProperties>
</file>