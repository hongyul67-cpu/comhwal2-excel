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합격불합격 판정" sheetId="3" state="visible" r:id="rId3"/>
    <sheet xmlns:r="http://schemas.openxmlformats.org/officeDocument/2006/relationships" name="02 AND로 우수 판정" sheetId="4" state="visible" r:id="rId4"/>
    <sheet xmlns:r="http://schemas.openxmlformats.org/officeDocument/2006/relationships" name="03 OR로 통과 판정" sheetId="5" state="visible" r:id="rId5"/>
    <sheet xmlns:r="http://schemas.openxmlformats.org/officeDocument/2006/relationships" name="04 IF 중첩으로 등급" sheetId="6" state="visible" r:id="rId6"/>
    <sheet xmlns:r="http://schemas.openxmlformats.org/officeDocument/2006/relationships" name="05 짝수홀수 구분" sheetId="7" state="visible" r:id="rId7"/>
    <sheet xmlns:r="http://schemas.openxmlformats.org/officeDocument/2006/relationships" name="06 오류를 하이픈으로" sheetId="8" state="visible" r:id="rId8"/>
    <sheet xmlns:r="http://schemas.openxmlformats.org/officeDocument/2006/relationships" name="07 NOT으로 반대 조건" sheetId="9" state="visible" r:id="rId9"/>
    <sheet xmlns:r="http://schemas.openxmlformats.org/officeDocument/2006/relationships" name="08 평균으로 통과 여부" sheetId="10" state="visible" r:id="rId10"/>
    <sheet xmlns:r="http://schemas.openxmlformats.org/officeDocument/2006/relationships" name="09 둘 다 만족해야 장학생" sheetId="11" state="visible" r:id="rId11"/>
    <sheet xmlns:r="http://schemas.openxmlformats.org/officeDocument/2006/relationships" name="10 3단계 등급 나누기" sheetId="12" state="visible" r:id="rId12"/>
    <sheet xmlns:r="http://schemas.openxmlformats.org/officeDocument/2006/relationships" name="11 목표량 칸을 기준으로 판정" sheetId="13" state="visible" r:id="rId13"/>
    <sheet xmlns:r="http://schemas.openxmlformats.org/officeDocument/2006/relationships" name="정답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논리 (11문제)</t>
        </is>
      </c>
    </row>
    <row r="3" ht="19" customHeight="1">
      <c r="B3" s="2" t="inlineStr">
        <is>
          <t>웹 「함수 연습소」의 [논리(IF)]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논리 11문제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합격/불합격 판정</t>
        </is>
      </c>
      <c r="C4" s="7" t="inlineStr">
        <is>
          <t>E2 → E7</t>
        </is>
      </c>
      <c r="D4" s="9">
        <f>'01 합격불합격 판정'!I7</f>
        <v/>
      </c>
    </row>
    <row r="5">
      <c r="A5" s="7" t="n">
        <v>2</v>
      </c>
      <c r="B5" s="8" t="inlineStr">
        <is>
          <t>AND로 우수 판정</t>
        </is>
      </c>
      <c r="C5" s="7" t="inlineStr">
        <is>
          <t>D2 → D6</t>
        </is>
      </c>
      <c r="D5" s="9">
        <f>'02 AND로 우수 판정'!I7</f>
        <v/>
      </c>
    </row>
    <row r="6">
      <c r="A6" s="7" t="n">
        <v>3</v>
      </c>
      <c r="B6" s="8" t="inlineStr">
        <is>
          <t>OR로 통과 판정</t>
        </is>
      </c>
      <c r="C6" s="7" t="inlineStr">
        <is>
          <t>D2 → D7</t>
        </is>
      </c>
      <c r="D6" s="9">
        <f>'03 OR로 통과 판정'!I7</f>
        <v/>
      </c>
    </row>
    <row r="7">
      <c r="A7" s="7" t="n">
        <v>4</v>
      </c>
      <c r="B7" s="8" t="inlineStr">
        <is>
          <t>IF 중첩으로 등급</t>
        </is>
      </c>
      <c r="C7" s="7" t="inlineStr">
        <is>
          <t>C2 → C7</t>
        </is>
      </c>
      <c r="D7" s="9">
        <f>'04 IF 중첩으로 등급'!I7</f>
        <v/>
      </c>
    </row>
    <row r="8">
      <c r="A8" s="7" t="n">
        <v>5</v>
      </c>
      <c r="B8" s="8" t="inlineStr">
        <is>
          <t>짝수/홀수 구분</t>
        </is>
      </c>
      <c r="C8" s="7" t="inlineStr">
        <is>
          <t>B2 → B7</t>
        </is>
      </c>
      <c r="D8" s="9">
        <f>'05 짝수홀수 구분'!I7</f>
        <v/>
      </c>
    </row>
    <row r="9">
      <c r="A9" s="7" t="n">
        <v>6</v>
      </c>
      <c r="B9" s="8" t="inlineStr">
        <is>
          <t>오류를 하이픈으로</t>
        </is>
      </c>
      <c r="C9" s="7" t="inlineStr">
        <is>
          <t>D2 → D6</t>
        </is>
      </c>
      <c r="D9" s="9">
        <f>'06 오류를 하이픈으로'!I7</f>
        <v/>
      </c>
    </row>
    <row r="10">
      <c r="A10" s="7" t="n">
        <v>7</v>
      </c>
      <c r="B10" s="8" t="inlineStr">
        <is>
          <t>NOT으로 반대 조건</t>
        </is>
      </c>
      <c r="C10" s="7" t="inlineStr">
        <is>
          <t>C2 → C6</t>
        </is>
      </c>
      <c r="D10" s="9">
        <f>'07 NOT으로 반대 조건'!I7</f>
        <v/>
      </c>
    </row>
    <row r="11">
      <c r="A11" s="7" t="n">
        <v>8</v>
      </c>
      <c r="B11" s="8" t="inlineStr">
        <is>
          <t>평균으로 통과 여부</t>
        </is>
      </c>
      <c r="C11" s="7" t="inlineStr">
        <is>
          <t>E2 → E7</t>
        </is>
      </c>
      <c r="D11" s="9">
        <f>'08 평균으로 통과 여부'!I7</f>
        <v/>
      </c>
    </row>
    <row r="12">
      <c r="A12" s="7" t="n">
        <v>9</v>
      </c>
      <c r="B12" s="8" t="inlineStr">
        <is>
          <t>둘 다 만족해야 장학생</t>
        </is>
      </c>
      <c r="C12" s="7" t="inlineStr">
        <is>
          <t>D2 → D6</t>
        </is>
      </c>
      <c r="D12" s="9">
        <f>'09 둘 다 만족해야 장학생'!I7</f>
        <v/>
      </c>
    </row>
    <row r="13">
      <c r="A13" s="7" t="n">
        <v>10</v>
      </c>
      <c r="B13" s="8" t="inlineStr">
        <is>
          <t>3단계 등급 나누기</t>
        </is>
      </c>
      <c r="C13" s="7" t="inlineStr">
        <is>
          <t>C2 → C7</t>
        </is>
      </c>
      <c r="D13" s="9">
        <f>'10 3단계 등급 나누기'!I7</f>
        <v/>
      </c>
    </row>
    <row r="14">
      <c r="A14" s="7" t="n">
        <v>11</v>
      </c>
      <c r="B14" s="8" t="inlineStr">
        <is>
          <t>목표량 칸을 기준으로 판정</t>
        </is>
      </c>
      <c r="C14" s="7" t="inlineStr">
        <is>
          <t>C2 → C7</t>
        </is>
      </c>
      <c r="D14" s="9">
        <f>'11 목표량 칸을 기준으로 판정'!I7</f>
        <v/>
      </c>
    </row>
    <row r="16">
      <c r="B16" s="10" t="inlineStr">
        <is>
          <t>맞은 문제</t>
        </is>
      </c>
      <c r="D16" s="11">
        <f>COUNTIF(D4:D14,"*맞음*")&amp;" / 11"</f>
        <v/>
      </c>
    </row>
  </sheetData>
  <mergeCells count="1">
    <mergeCell ref="A1:D1"/>
  </mergeCells>
  <conditionalFormatting sqref="D4:D14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총점</t>
        </is>
      </c>
      <c r="E1" s="12" t="inlineStr">
        <is>
          <t>결과</t>
        </is>
      </c>
      <c r="H1" s="13" t="inlineStr">
        <is>
          <t>1번 · 합격/불합격 판정</t>
        </is>
      </c>
    </row>
    <row r="2" ht="22" customHeight="1">
      <c r="A2" s="7" t="inlineStr">
        <is>
          <t>김한별</t>
        </is>
      </c>
      <c r="B2" s="7" t="n">
        <v>80</v>
      </c>
      <c r="C2" s="7" t="n">
        <v>90</v>
      </c>
      <c r="D2" s="7" t="n">
        <v>170</v>
      </c>
      <c r="E2" s="14" t="n">
        <v>0</v>
      </c>
      <c r="H2" s="15" t="inlineStr">
        <is>
          <t>총점[D2:D7]이 160 이상이면 "합격", 아니면 "불합격"을 [E2:E7]에 표시하시오.</t>
        </is>
      </c>
      <c r="AA2">
        <f>IF(D2&gt;=160,"합격","불합격")</f>
        <v/>
      </c>
      <c r="AB2">
        <f>AND(_xlfn.ISFORMULA(E2),IFERROR(ROUND(E2,4)=ROUND(AA2,4),EXACT(E2,AA2)))</f>
        <v/>
      </c>
    </row>
    <row r="3" ht="22" customHeight="1">
      <c r="A3" s="7" t="inlineStr">
        <is>
          <t>이서윤</t>
        </is>
      </c>
      <c r="B3" s="7" t="n">
        <v>75</v>
      </c>
      <c r="C3" s="7" t="n">
        <v>85</v>
      </c>
      <c r="D3" s="7" t="n">
        <v>160</v>
      </c>
      <c r="E3" s="14" t="n">
        <v>0</v>
      </c>
      <c r="AA3">
        <f>IF(D3&gt;=160,"합격","불합격")</f>
        <v/>
      </c>
      <c r="AB3">
        <f>AND(_xlfn.ISFORMULA(E3),IFERROR(ROUND(E3,4)=ROUND(AA3,4),EXACT(E3,AA3)))</f>
        <v/>
      </c>
    </row>
    <row r="4" ht="22" customHeight="1">
      <c r="A4" s="7" t="inlineStr">
        <is>
          <t>박도현</t>
        </is>
      </c>
      <c r="B4" s="7" t="n">
        <v>70</v>
      </c>
      <c r="C4" s="7" t="n">
        <v>72</v>
      </c>
      <c r="D4" s="7" t="n">
        <v>142</v>
      </c>
      <c r="E4" s="14" t="n">
        <v>0</v>
      </c>
      <c r="AA4">
        <f>IF(D4&gt;=160,"합격","불합격")</f>
        <v/>
      </c>
      <c r="AB4">
        <f>AND(_xlfn.ISFORMULA(E4),IFERROR(ROUND(E4,4)=ROUND(AA4,4),EXACT(E4,AA4)))</f>
        <v/>
      </c>
    </row>
    <row r="5" ht="20" customHeight="1">
      <c r="A5" s="7" t="inlineStr">
        <is>
          <t>최민재</t>
        </is>
      </c>
      <c r="B5" s="7" t="n">
        <v>95</v>
      </c>
      <c r="C5" s="7" t="n">
        <v>88</v>
      </c>
      <c r="D5" s="7" t="n">
        <v>183</v>
      </c>
      <c r="E5" s="14" t="n">
        <v>0</v>
      </c>
      <c r="H5" s="16" t="inlineStr">
        <is>
          <t>① E2 의 0 을 지우고 수식을 넣습니다.
② 채우기 핸들(칸 오른쪽 아래 ■)을 E7 까지 끌어내립니다.</t>
        </is>
      </c>
      <c r="AA5">
        <f>IF(D5&gt;=160,"합격","불합격")</f>
        <v/>
      </c>
      <c r="AB5">
        <f>AND(_xlfn.ISFORMULA(E5),IFERROR(ROUND(E5,4)=ROUND(AA5,4),EXACT(E5,AA5)))</f>
        <v/>
      </c>
    </row>
    <row r="6" ht="20" customHeight="1">
      <c r="A6" s="7" t="inlineStr">
        <is>
          <t>정하린</t>
        </is>
      </c>
      <c r="B6" s="7" t="n">
        <v>79</v>
      </c>
      <c r="C6" s="7" t="n">
        <v>80</v>
      </c>
      <c r="D6" s="7" t="n">
        <v>159</v>
      </c>
      <c r="E6" s="14" t="n">
        <v>0</v>
      </c>
      <c r="AA6">
        <f>IF(D6&gt;=160,"합격","불합격")</f>
        <v/>
      </c>
      <c r="AB6">
        <f>AND(_xlfn.ISFORMULA(E6),IFERROR(ROUND(E6,4)=ROUND(AA6,4),EXACT(E6,AA6)))</f>
        <v/>
      </c>
    </row>
    <row r="7" ht="24" customHeight="1">
      <c r="A7" s="7" t="inlineStr">
        <is>
          <t>윤지호</t>
        </is>
      </c>
      <c r="B7" s="7" t="n">
        <v>60</v>
      </c>
      <c r="C7" s="7" t="n">
        <v>91</v>
      </c>
      <c r="D7" s="7" t="n">
        <v>151</v>
      </c>
      <c r="E7" s="14" t="n">
        <v>0</v>
      </c>
      <c r="H7" s="12" t="inlineStr">
        <is>
          <t>채점</t>
        </is>
      </c>
      <c r="I7" s="17">
        <f>IF(NOT(_xlfn.ISFORMULA(E2)),"↖ 0 지우고 수식",IF(COUNTIF(AB2:AB7,TRUE)=6,"✔ 맞음","✘ 다시 ("&amp;COUNTIF(AB2:AB7,TRUE)&amp;" / 6칸)"))</f>
        <v/>
      </c>
      <c r="J7" s="18" t="n"/>
      <c r="K7" s="18" t="n"/>
      <c r="AA7">
        <f>IF(D7&gt;=160,"합격","불합격")</f>
        <v/>
      </c>
      <c r="AB7">
        <f>AND(_xlfn.ISFORMULA(E7),IFERROR(ROUND(E7,4)=ROUND(AA7,4),EXACT(E7,AA7)))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IF(조건, 참일 때, 거짓일 때). 문자는 "큰따옴표"로 감쌉니다.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필기</t>
        </is>
      </c>
      <c r="C1" s="12" t="inlineStr">
        <is>
          <t>실기</t>
        </is>
      </c>
      <c r="D1" s="12" t="inlineStr">
        <is>
          <t>평가</t>
        </is>
      </c>
      <c r="H1" s="13" t="inlineStr">
        <is>
          <t>2번 · AND로 우수 판정</t>
        </is>
      </c>
    </row>
    <row r="2" ht="22" customHeight="1">
      <c r="A2" s="7" t="inlineStr">
        <is>
          <t>이보람</t>
        </is>
      </c>
      <c r="B2" s="7" t="n">
        <v>85</v>
      </c>
      <c r="C2" s="7" t="n">
        <v>90</v>
      </c>
      <c r="D2" s="14" t="n">
        <v>0</v>
      </c>
      <c r="H2" s="15" t="inlineStr">
        <is>
          <t>필기[B2:B6]와 실기[C2:C6]가 모두 80 이상이면 "우수", 아니면 공백("")을 [D2:D6]에 표시하시오.</t>
        </is>
      </c>
      <c r="AA2">
        <f>IF(AND(B2&gt;=80,C2&gt;=80),"우수","")</f>
        <v/>
      </c>
      <c r="AB2">
        <f>AND(_xlfn.ISFORMULA(D2),IFERROR(ROUND(D2,4)=ROUND(AA2,4),EXACT(D2,AA2)))</f>
        <v/>
      </c>
    </row>
    <row r="3" ht="22" customHeight="1">
      <c r="A3" s="7" t="inlineStr">
        <is>
          <t>김도윤</t>
        </is>
      </c>
      <c r="B3" s="7" t="n">
        <v>92</v>
      </c>
      <c r="C3" s="7" t="n">
        <v>78</v>
      </c>
      <c r="D3" s="14" t="n">
        <v>0</v>
      </c>
      <c r="AA3">
        <f>IF(AND(B3&gt;=80,C3&gt;=80),"우수","")</f>
        <v/>
      </c>
      <c r="AB3">
        <f>AND(_xlfn.ISFORMULA(D3),IFERROR(ROUND(D3,4)=ROUND(AA3,4),EXACT(D3,AA3)))</f>
        <v/>
      </c>
    </row>
    <row r="4" ht="22" customHeight="1">
      <c r="A4" s="7" t="inlineStr">
        <is>
          <t>최서아</t>
        </is>
      </c>
      <c r="B4" s="7" t="n">
        <v>80</v>
      </c>
      <c r="C4" s="7" t="n">
        <v>80</v>
      </c>
      <c r="D4" s="14" t="n">
        <v>0</v>
      </c>
      <c r="AA4">
        <f>IF(AND(B4&gt;=80,C4&gt;=80),"우수","")</f>
        <v/>
      </c>
      <c r="AB4">
        <f>AND(_xlfn.ISFORMULA(D4),IFERROR(ROUND(D4,4)=ROUND(AA4,4),EXACT(D4,AA4)))</f>
        <v/>
      </c>
    </row>
    <row r="5" ht="20" customHeight="1">
      <c r="A5" s="7" t="inlineStr">
        <is>
          <t>한지민</t>
        </is>
      </c>
      <c r="B5" s="7" t="n">
        <v>79</v>
      </c>
      <c r="C5" s="7" t="n">
        <v>95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IF(AND(B5&gt;=80,C5&gt;=80),"우수","")</f>
        <v/>
      </c>
      <c r="AB5">
        <f>AND(_xlfn.ISFORMULA(D5),IFERROR(ROUND(D5,4)=ROUND(AA5,4),EXACT(D5,AA5)))</f>
        <v/>
      </c>
    </row>
    <row r="6" ht="20" customHeight="1">
      <c r="A6" s="7" t="inlineStr">
        <is>
          <t>오세훈</t>
        </is>
      </c>
      <c r="B6" s="7" t="n">
        <v>88</v>
      </c>
      <c r="C6" s="7" t="n">
        <v>83</v>
      </c>
      <c r="D6" s="14" t="n">
        <v>0</v>
      </c>
      <c r="AA6">
        <f>IF(AND(B6&gt;=80,C6&gt;=80),"우수","")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AND(조건1, 조건2)는 조건이 모두 참일 때만 TRUE입니다.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출석</t>
        </is>
      </c>
      <c r="C1" s="12" t="inlineStr">
        <is>
          <t>과제</t>
        </is>
      </c>
      <c r="D1" s="12" t="inlineStr">
        <is>
          <t>판정</t>
        </is>
      </c>
      <c r="H1" s="13" t="inlineStr">
        <is>
          <t>3번 · OR로 통과 판정</t>
        </is>
      </c>
    </row>
    <row r="2" ht="22" customHeight="1">
      <c r="A2" s="7" t="inlineStr">
        <is>
          <t>정하늘</t>
        </is>
      </c>
      <c r="B2" s="7" t="n">
        <v>14</v>
      </c>
      <c r="C2" s="7" t="n">
        <v>6</v>
      </c>
      <c r="D2" s="14" t="n">
        <v>0</v>
      </c>
      <c r="H2" s="15" t="inlineStr">
        <is>
          <t>출석[B2:B7]이 15 이상이거나 과제[C2:C7]가 8 이상이면 "통과", 아니면 "미달"을 [D2:D7]에 표시하시오.</t>
        </is>
      </c>
      <c r="AA2">
        <f>IF(OR(B2&gt;=15,C2&gt;=8),"통과","미달")</f>
        <v/>
      </c>
      <c r="AB2">
        <f>AND(_xlfn.ISFORMULA(D2),IFERROR(ROUND(D2,4)=ROUND(AA2,4),EXACT(D2,AA2)))</f>
        <v/>
      </c>
    </row>
    <row r="3" ht="22" customHeight="1">
      <c r="A3" s="7" t="inlineStr">
        <is>
          <t>김태오</t>
        </is>
      </c>
      <c r="B3" s="7" t="n">
        <v>15</v>
      </c>
      <c r="C3" s="7" t="n">
        <v>3</v>
      </c>
      <c r="D3" s="14" t="n">
        <v>0</v>
      </c>
      <c r="AA3">
        <f>IF(OR(B3&gt;=15,C3&gt;=8),"통과","미달")</f>
        <v/>
      </c>
      <c r="AB3">
        <f>AND(_xlfn.ISFORMULA(D3),IFERROR(ROUND(D3,4)=ROUND(AA3,4),EXACT(D3,AA3)))</f>
        <v/>
      </c>
    </row>
    <row r="4" ht="22" customHeight="1">
      <c r="A4" s="7" t="inlineStr">
        <is>
          <t>이나래</t>
        </is>
      </c>
      <c r="B4" s="7" t="n">
        <v>10</v>
      </c>
      <c r="C4" s="7" t="n">
        <v>8</v>
      </c>
      <c r="D4" s="14" t="n">
        <v>0</v>
      </c>
      <c r="AA4">
        <f>IF(OR(B4&gt;=15,C4&gt;=8),"통과","미달")</f>
        <v/>
      </c>
      <c r="AB4">
        <f>AND(_xlfn.ISFORMULA(D4),IFERROR(ROUND(D4,4)=ROUND(AA4,4),EXACT(D4,AA4)))</f>
        <v/>
      </c>
    </row>
    <row r="5" ht="20" customHeight="1">
      <c r="A5" s="7" t="inlineStr">
        <is>
          <t>박시우</t>
        </is>
      </c>
      <c r="B5" s="7" t="n">
        <v>12</v>
      </c>
      <c r="C5" s="7" t="n">
        <v>7</v>
      </c>
      <c r="D5" s="14" t="n">
        <v>0</v>
      </c>
      <c r="H5" s="16" t="inlineStr">
        <is>
          <t>① D2 의 0 을 지우고 수식을 넣습니다.
② 채우기 핸들(칸 오른쪽 아래 ■)을 D7 까지 끌어내립니다.</t>
        </is>
      </c>
      <c r="AA5">
        <f>IF(OR(B5&gt;=15,C5&gt;=8),"통과","미달")</f>
        <v/>
      </c>
      <c r="AB5">
        <f>AND(_xlfn.ISFORMULA(D5),IFERROR(ROUND(D5,4)=ROUND(AA5,4),EXACT(D5,AA5)))</f>
        <v/>
      </c>
    </row>
    <row r="6" ht="20" customHeight="1">
      <c r="A6" s="7" t="inlineStr">
        <is>
          <t>최유나</t>
        </is>
      </c>
      <c r="B6" s="7" t="n">
        <v>16</v>
      </c>
      <c r="C6" s="7" t="n">
        <v>9</v>
      </c>
      <c r="D6" s="14" t="n">
        <v>0</v>
      </c>
      <c r="AA6">
        <f>IF(OR(B6&gt;=15,C6&gt;=8),"통과","미달")</f>
        <v/>
      </c>
      <c r="AB6">
        <f>AND(_xlfn.ISFORMULA(D6),IFERROR(ROUND(D6,4)=ROUND(AA6,4),EXACT(D6,AA6)))</f>
        <v/>
      </c>
    </row>
    <row r="7" ht="24" customHeight="1">
      <c r="A7" s="7" t="inlineStr">
        <is>
          <t>강민호</t>
        </is>
      </c>
      <c r="B7" s="7" t="n">
        <v>14</v>
      </c>
      <c r="C7" s="7" t="n">
        <v>8</v>
      </c>
      <c r="D7" s="14" t="n">
        <v>0</v>
      </c>
      <c r="H7" s="12" t="inlineStr">
        <is>
          <t>채점</t>
        </is>
      </c>
      <c r="I7" s="17">
        <f>IF(NOT(_xlfn.ISFORMULA(D2)),"↖ 0 지우고 수식",IF(COUNTIF(AB2:AB7,TRUE)=6,"✔ 맞음","✘ 다시 ("&amp;COUNTIF(AB2:AB7,TRUE)&amp;" / 6칸)"))</f>
        <v/>
      </c>
      <c r="J7" s="18" t="n"/>
      <c r="K7" s="18" t="n"/>
      <c r="AA7">
        <f>IF(OR(B7&gt;=15,C7&gt;=8),"통과","미달")</f>
        <v/>
      </c>
      <c r="AB7">
        <f>AND(_xlfn.ISFORMULA(D7),IFERROR(ROUND(D7,4)=ROUND(AA7,4),EXACT(D7,AA7)))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OR(조건1, 조건2)는 하나라도 참이면 TRUE입니다.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등급</t>
        </is>
      </c>
      <c r="H1" s="13" t="inlineStr">
        <is>
          <t>4번 · IF 중첩으로 등급</t>
        </is>
      </c>
    </row>
    <row r="2" ht="22" customHeight="1">
      <c r="A2" s="7" t="inlineStr">
        <is>
          <t>한겨울</t>
        </is>
      </c>
      <c r="B2" s="7" t="n">
        <v>84</v>
      </c>
      <c r="C2" s="14" t="n">
        <v>0</v>
      </c>
      <c r="H2" s="15" t="inlineStr">
        <is>
          <t>점수[B2:B7]가 90 이상이면 "A", 80 이상이면 "B", 그 외는 "C"를 [C2:C7]에 표시하시오.</t>
        </is>
      </c>
      <c r="AA2">
        <f>IF(B2&gt;=90,"A",IF(B2&gt;=80,"B","C"))</f>
        <v/>
      </c>
      <c r="AB2">
        <f>AND(_xlfn.ISFORMULA(C2),IFERROR(ROUND(C2,4)=ROUND(AA2,4),EXACT(C2,AA2)))</f>
        <v/>
      </c>
    </row>
    <row r="3" ht="22" customHeight="1">
      <c r="A3" s="7" t="inlineStr">
        <is>
          <t>오하준</t>
        </is>
      </c>
      <c r="B3" s="7" t="n">
        <v>90</v>
      </c>
      <c r="C3" s="14" t="n">
        <v>0</v>
      </c>
      <c r="AA3">
        <f>IF(B3&gt;=90,"A",IF(B3&gt;=80,"B","C"))</f>
        <v/>
      </c>
      <c r="AB3">
        <f>AND(_xlfn.ISFORMULA(C3),IFERROR(ROUND(C3,4)=ROUND(AA3,4),EXACT(C3,AA3)))</f>
        <v/>
      </c>
    </row>
    <row r="4" ht="22" customHeight="1">
      <c r="A4" s="7" t="inlineStr">
        <is>
          <t>서예린</t>
        </is>
      </c>
      <c r="B4" s="7" t="n">
        <v>79</v>
      </c>
      <c r="C4" s="14" t="n">
        <v>0</v>
      </c>
      <c r="AA4">
        <f>IF(B4&gt;=90,"A",IF(B4&gt;=80,"B","C"))</f>
        <v/>
      </c>
      <c r="AB4">
        <f>AND(_xlfn.ISFORMULA(C4),IFERROR(ROUND(C4,4)=ROUND(AA4,4),EXACT(C4,AA4)))</f>
        <v/>
      </c>
    </row>
    <row r="5" ht="20" customHeight="1">
      <c r="A5" s="7" t="inlineStr">
        <is>
          <t>문지우</t>
        </is>
      </c>
      <c r="B5" s="7" t="n">
        <v>95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IF(B5&gt;=90,"A",IF(B5&gt;=80,"B","C"))</f>
        <v/>
      </c>
      <c r="AB5">
        <f>AND(_xlfn.ISFORMULA(C5),IFERROR(ROUND(C5,4)=ROUND(AA5,4),EXACT(C5,AA5)))</f>
        <v/>
      </c>
    </row>
    <row r="6" ht="20" customHeight="1">
      <c r="A6" s="7" t="inlineStr">
        <is>
          <t>배수아</t>
        </is>
      </c>
      <c r="B6" s="7" t="n">
        <v>80</v>
      </c>
      <c r="C6" s="14" t="n">
        <v>0</v>
      </c>
      <c r="AA6">
        <f>IF(B6&gt;=90,"A",IF(B6&gt;=80,"B","C"))</f>
        <v/>
      </c>
      <c r="AB6">
        <f>AND(_xlfn.ISFORMULA(C6),IFERROR(ROUND(C6,4)=ROUND(AA6,4),EXACT(C6,AA6)))</f>
        <v/>
      </c>
    </row>
    <row r="7" ht="24" customHeight="1">
      <c r="A7" s="7" t="inlineStr">
        <is>
          <t>홍준서</t>
        </is>
      </c>
      <c r="B7" s="7" t="n">
        <v>62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IF(B7&gt;=90,"A",IF(B7&gt;=80,"B","C"))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큰 조건부터 차례로 씁니다. IF( , , IF( , , ))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번호</t>
        </is>
      </c>
      <c r="B1" s="12" t="inlineStr">
        <is>
          <t>구분</t>
        </is>
      </c>
      <c r="H1" s="13" t="inlineStr">
        <is>
          <t>5번 · 짝수/홀수 구분</t>
        </is>
      </c>
    </row>
    <row r="2" ht="22" customHeight="1">
      <c r="A2" s="7" t="n">
        <v>27</v>
      </c>
      <c r="B2" s="14" t="n">
        <v>0</v>
      </c>
      <c r="H2" s="15" t="inlineStr">
        <is>
          <t>번호[A2:A7]가 짝수면 "짝", 홀수면 "홀"을 [B2:B7]에 표시하시오. (MOD 사용)</t>
        </is>
      </c>
      <c r="AA2">
        <f>IF(MOD(A2,2)=0,"짝","홀")</f>
        <v/>
      </c>
      <c r="AB2">
        <f>AND(_xlfn.ISFORMULA(B2),IFERROR(ROUND(B2,4)=ROUND(AA2,4),EXACT(B2,AA2)))</f>
        <v/>
      </c>
    </row>
    <row r="3" ht="22" customHeight="1">
      <c r="A3" s="7" t="n">
        <v>40</v>
      </c>
      <c r="B3" s="14" t="n">
        <v>0</v>
      </c>
      <c r="AA3">
        <f>IF(MOD(A3,2)=0,"짝","홀")</f>
        <v/>
      </c>
      <c r="AB3">
        <f>AND(_xlfn.ISFORMULA(B3),IFERROR(ROUND(B3,4)=ROUND(AA3,4),EXACT(B3,AA3)))</f>
        <v/>
      </c>
    </row>
    <row r="4" ht="22" customHeight="1">
      <c r="A4" s="7" t="n">
        <v>3</v>
      </c>
      <c r="B4" s="14" t="n">
        <v>0</v>
      </c>
      <c r="AA4">
        <f>IF(MOD(A4,2)=0,"짝","홀")</f>
        <v/>
      </c>
      <c r="AB4">
        <f>AND(_xlfn.ISFORMULA(B4),IFERROR(ROUND(B4,4)=ROUND(AA4,4),EXACT(B4,AA4)))</f>
        <v/>
      </c>
    </row>
    <row r="5" ht="20" customHeight="1">
      <c r="A5" s="7" t="n">
        <v>18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IF(MOD(A5,2)=0,"짝","홀")</f>
        <v/>
      </c>
      <c r="AB5">
        <f>AND(_xlfn.ISFORMULA(B5),IFERROR(ROUND(B5,4)=ROUND(AA5,4),EXACT(B5,AA5)))</f>
        <v/>
      </c>
    </row>
    <row r="6" ht="20" customHeight="1">
      <c r="A6" s="7" t="n">
        <v>0</v>
      </c>
      <c r="B6" s="14" t="n">
        <v>0</v>
      </c>
      <c r="AA6">
        <f>IF(MOD(A6,2)=0,"짝","홀")</f>
        <v/>
      </c>
      <c r="AB6">
        <f>AND(_xlfn.ISFORMULA(B6),IFERROR(ROUND(B6,4)=ROUND(AA6,4),EXACT(B6,AA6)))</f>
        <v/>
      </c>
    </row>
    <row r="7" ht="24" customHeight="1">
      <c r="A7" s="7" t="n">
        <v>55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IF(MOD(A7,2)=0,"짝","홀")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MOD(수,2)의 나머지가 0이면 짝수입니다.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목표</t>
        </is>
      </c>
      <c r="C1" s="12" t="inlineStr">
        <is>
          <t>판매</t>
        </is>
      </c>
      <c r="D1" s="12" t="inlineStr">
        <is>
          <t>달성률</t>
        </is>
      </c>
      <c r="H1" s="13" t="inlineStr">
        <is>
          <t>6번 · 오류를 하이픈으로</t>
        </is>
      </c>
    </row>
    <row r="2" ht="22" customHeight="1">
      <c r="A2" s="7" t="inlineStr">
        <is>
          <t>모니터</t>
        </is>
      </c>
      <c r="B2" s="7" t="n">
        <v>0</v>
      </c>
      <c r="C2" s="7" t="n">
        <v>120</v>
      </c>
      <c r="D2" s="14" t="n">
        <v>0</v>
      </c>
      <c r="H2" s="15" t="inlineStr">
        <is>
          <t>판매[C2:C6]÷목표[B2:B6]×100을 정수로 반올림해 달성률을 구하되, 오류가 나면 "-"를 [D2:D6]에 표시하시오.</t>
        </is>
      </c>
      <c r="AA2">
        <f>IFERROR(ROUND(C2/B2*100,0),"-")</f>
        <v/>
      </c>
      <c r="AB2">
        <f>AND(_xlfn.ISFORMULA(D2),IFERROR(ROUND(D2,4)=ROUND(AA2,4),EXACT(D2,AA2)))</f>
        <v/>
      </c>
    </row>
    <row r="3" ht="22" customHeight="1">
      <c r="A3" s="7" t="inlineStr">
        <is>
          <t>키보드</t>
        </is>
      </c>
      <c r="B3" s="7" t="n">
        <v>200</v>
      </c>
      <c r="C3" s="7" t="n">
        <v>180</v>
      </c>
      <c r="D3" s="14" t="n">
        <v>0</v>
      </c>
      <c r="AA3">
        <f>IFERROR(ROUND(C3/B3*100,0),"-")</f>
        <v/>
      </c>
      <c r="AB3">
        <f>AND(_xlfn.ISFORMULA(D3),IFERROR(ROUND(D3,4)=ROUND(AA3,4),EXACT(D3,AA3)))</f>
        <v/>
      </c>
    </row>
    <row r="4" ht="22" customHeight="1">
      <c r="A4" s="7" t="inlineStr">
        <is>
          <t>마우스</t>
        </is>
      </c>
      <c r="B4" s="7" t="n">
        <v>150</v>
      </c>
      <c r="C4" s="7" t="n">
        <v>168</v>
      </c>
      <c r="D4" s="14" t="n">
        <v>0</v>
      </c>
      <c r="AA4">
        <f>IFERROR(ROUND(C4/B4*100,0),"-")</f>
        <v/>
      </c>
      <c r="AB4">
        <f>AND(_xlfn.ISFORMULA(D4),IFERROR(ROUND(D4,4)=ROUND(AA4,4),EXACT(D4,AA4)))</f>
        <v/>
      </c>
    </row>
    <row r="5" ht="20" customHeight="1">
      <c r="A5" s="7" t="inlineStr">
        <is>
          <t>스피커</t>
        </is>
      </c>
      <c r="B5" s="7" t="n">
        <v>0</v>
      </c>
      <c r="C5" s="7" t="n">
        <v>40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IFERROR(ROUND(C5/B5*100,0),"-")</f>
        <v/>
      </c>
      <c r="AB5">
        <f>AND(_xlfn.ISFORMULA(D5),IFERROR(ROUND(D5,4)=ROUND(AA5,4),EXACT(D5,AA5)))</f>
        <v/>
      </c>
    </row>
    <row r="6" ht="20" customHeight="1">
      <c r="A6" s="7" t="inlineStr">
        <is>
          <t>프린터</t>
        </is>
      </c>
      <c r="B6" s="7" t="n">
        <v>80</v>
      </c>
      <c r="C6" s="7" t="n">
        <v>80</v>
      </c>
      <c r="D6" s="14" t="n">
        <v>0</v>
      </c>
      <c r="AA6">
        <f>IFERROR(ROUND(C6/B6*100,0),"-")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IFERROR(수식, 오류일 때 표시할 값)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제출여부</t>
        </is>
      </c>
      <c r="C1" s="12" t="inlineStr">
        <is>
          <t>안내</t>
        </is>
      </c>
      <c r="H1" s="13" t="inlineStr">
        <is>
          <t>7번 · NOT으로 반대 조건</t>
        </is>
      </c>
    </row>
    <row r="2" ht="22" customHeight="1">
      <c r="A2" s="7" t="inlineStr">
        <is>
          <t>서지호</t>
        </is>
      </c>
      <c r="B2" s="7" t="inlineStr">
        <is>
          <t>미제출</t>
        </is>
      </c>
      <c r="C2" s="14" t="n">
        <v>0</v>
      </c>
      <c r="H2" s="15" t="inlineStr">
        <is>
          <t>제출여부[B2:B6]가 "제출"이 아니면 "독촉", 맞으면 공백("")을 [C2:C6]에 표시하시오. (NOT 사용)</t>
        </is>
      </c>
      <c r="AA2">
        <f>IF(NOT(B2="제출"),"독촉","")</f>
        <v/>
      </c>
      <c r="AB2">
        <f>AND(_xlfn.ISFORMULA(C2),IFERROR(ROUND(C2,4)=ROUND(AA2,4),EXACT(C2,AA2)))</f>
        <v/>
      </c>
    </row>
    <row r="3" ht="22" customHeight="1">
      <c r="A3" s="7" t="inlineStr">
        <is>
          <t>김나윤</t>
        </is>
      </c>
      <c r="B3" s="7" t="inlineStr">
        <is>
          <t>제출</t>
        </is>
      </c>
      <c r="C3" s="14" t="n">
        <v>0</v>
      </c>
      <c r="AA3">
        <f>IF(NOT(B3="제출"),"독촉","")</f>
        <v/>
      </c>
      <c r="AB3">
        <f>AND(_xlfn.ISFORMULA(C3),IFERROR(ROUND(C3,4)=ROUND(AA3,4),EXACT(C3,AA3)))</f>
        <v/>
      </c>
    </row>
    <row r="4" ht="22" customHeight="1">
      <c r="A4" s="7" t="inlineStr">
        <is>
          <t>이준혁</t>
        </is>
      </c>
      <c r="B4" s="7" t="inlineStr">
        <is>
          <t>미제출</t>
        </is>
      </c>
      <c r="C4" s="14" t="n">
        <v>0</v>
      </c>
      <c r="AA4">
        <f>IF(NOT(B4="제출"),"독촉","")</f>
        <v/>
      </c>
      <c r="AB4">
        <f>AND(_xlfn.ISFORMULA(C4),IFERROR(ROUND(C4,4)=ROUND(AA4,4),EXACT(C4,AA4)))</f>
        <v/>
      </c>
    </row>
    <row r="5" ht="20" customHeight="1">
      <c r="A5" s="7" t="inlineStr">
        <is>
          <t>박소율</t>
        </is>
      </c>
      <c r="B5" s="7" t="inlineStr">
        <is>
          <t>제출</t>
        </is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IF(NOT(B5="제출"),"독촉","")</f>
        <v/>
      </c>
      <c r="AB5">
        <f>AND(_xlfn.ISFORMULA(C5),IFERROR(ROUND(C5,4)=ROUND(AA5,4),EXACT(C5,AA5)))</f>
        <v/>
      </c>
    </row>
    <row r="6" ht="20" customHeight="1">
      <c r="A6" s="7" t="inlineStr">
        <is>
          <t>최건우</t>
        </is>
      </c>
      <c r="B6" s="7" t="inlineStr">
        <is>
          <t>지각제출</t>
        </is>
      </c>
      <c r="C6" s="14" t="n">
        <v>0</v>
      </c>
      <c r="AA6">
        <f>IF(NOT(B6="제출"),"독촉","")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NOT(조건)은 참·거짓을 뒤집습니다.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중간</t>
        </is>
      </c>
      <c r="C1" s="12" t="inlineStr">
        <is>
          <t>기말</t>
        </is>
      </c>
      <c r="D1" s="12" t="inlineStr">
        <is>
          <t>평균</t>
        </is>
      </c>
      <c r="E1" s="12" t="inlineStr">
        <is>
          <t>판정</t>
        </is>
      </c>
      <c r="H1" s="13" t="inlineStr">
        <is>
          <t>8번 · 평균으로 통과 여부</t>
        </is>
      </c>
    </row>
    <row r="2" ht="22" customHeight="1">
      <c r="A2" s="7" t="inlineStr">
        <is>
          <t>김하늘</t>
        </is>
      </c>
      <c r="B2" s="7" t="n">
        <v>78</v>
      </c>
      <c r="C2" s="7" t="n">
        <v>86</v>
      </c>
      <c r="D2" s="7" t="n">
        <v>82</v>
      </c>
      <c r="E2" s="14" t="n">
        <v>0</v>
      </c>
      <c r="H2" s="15" t="inlineStr">
        <is>
          <t>평균[D2:D7]이 80 이상이면 "통과", 아니면 "재시험"을 [E2:E7]에 표시하시오.</t>
        </is>
      </c>
      <c r="AA2">
        <f>IF(D2&gt;=80,"통과","재시험")</f>
        <v/>
      </c>
      <c r="AB2">
        <f>AND(_xlfn.ISFORMULA(E2),IFERROR(ROUND(E2,4)=ROUND(AA2,4),EXACT(E2,AA2)))</f>
        <v/>
      </c>
    </row>
    <row r="3" ht="22" customHeight="1">
      <c r="A3" s="7" t="inlineStr">
        <is>
          <t>이바다</t>
        </is>
      </c>
      <c r="B3" s="7" t="n">
        <v>70</v>
      </c>
      <c r="C3" s="7" t="n">
        <v>90</v>
      </c>
      <c r="D3" s="7" t="n">
        <v>80</v>
      </c>
      <c r="E3" s="14" t="n">
        <v>0</v>
      </c>
      <c r="AA3">
        <f>IF(D3&gt;=80,"통과","재시험")</f>
        <v/>
      </c>
      <c r="AB3">
        <f>AND(_xlfn.ISFORMULA(E3),IFERROR(ROUND(E3,4)=ROUND(AA3,4),EXACT(E3,AA3)))</f>
        <v/>
      </c>
    </row>
    <row r="4" ht="22" customHeight="1">
      <c r="A4" s="7" t="inlineStr">
        <is>
          <t>박구름</t>
        </is>
      </c>
      <c r="B4" s="7" t="n">
        <v>72</v>
      </c>
      <c r="C4" s="7" t="n">
        <v>75</v>
      </c>
      <c r="D4" s="7" t="n">
        <v>73.5</v>
      </c>
      <c r="E4" s="14" t="n">
        <v>0</v>
      </c>
      <c r="AA4">
        <f>IF(D4&gt;=80,"통과","재시험")</f>
        <v/>
      </c>
      <c r="AB4">
        <f>AND(_xlfn.ISFORMULA(E4),IFERROR(ROUND(E4,4)=ROUND(AA4,4),EXACT(E4,AA4)))</f>
        <v/>
      </c>
    </row>
    <row r="5" ht="20" customHeight="1">
      <c r="A5" s="7" t="inlineStr">
        <is>
          <t>최나무</t>
        </is>
      </c>
      <c r="B5" s="7" t="n">
        <v>95</v>
      </c>
      <c r="C5" s="7" t="n">
        <v>88</v>
      </c>
      <c r="D5" s="7" t="n">
        <v>91.5</v>
      </c>
      <c r="E5" s="14" t="n">
        <v>0</v>
      </c>
      <c r="H5" s="16" t="inlineStr">
        <is>
          <t>① E2 의 0 을 지우고 수식을 넣습니다.
② 채우기 핸들(칸 오른쪽 아래 ■)을 E7 까지 끌어내립니다.</t>
        </is>
      </c>
      <c r="AA5">
        <f>IF(D5&gt;=80,"통과","재시험")</f>
        <v/>
      </c>
      <c r="AB5">
        <f>AND(_xlfn.ISFORMULA(E5),IFERROR(ROUND(E5,4)=ROUND(AA5,4),EXACT(E5,AA5)))</f>
        <v/>
      </c>
    </row>
    <row r="6" ht="20" customHeight="1">
      <c r="A6" s="7" t="inlineStr">
        <is>
          <t>정새벽</t>
        </is>
      </c>
      <c r="B6" s="7" t="n">
        <v>81</v>
      </c>
      <c r="C6" s="7" t="n">
        <v>78</v>
      </c>
      <c r="D6" s="7" t="n">
        <v>79.5</v>
      </c>
      <c r="E6" s="14" t="n">
        <v>0</v>
      </c>
      <c r="AA6">
        <f>IF(D6&gt;=80,"통과","재시험")</f>
        <v/>
      </c>
      <c r="AB6">
        <f>AND(_xlfn.ISFORMULA(E6),IFERROR(ROUND(E6,4)=ROUND(AA6,4),EXACT(E6,AA6)))</f>
        <v/>
      </c>
    </row>
    <row r="7" ht="24" customHeight="1">
      <c r="A7" s="7" t="inlineStr">
        <is>
          <t>한가람</t>
        </is>
      </c>
      <c r="B7" s="7" t="n">
        <v>60</v>
      </c>
      <c r="C7" s="7" t="n">
        <v>64</v>
      </c>
      <c r="D7" s="7" t="n">
        <v>62</v>
      </c>
      <c r="E7" s="14" t="n">
        <v>0</v>
      </c>
      <c r="H7" s="12" t="inlineStr">
        <is>
          <t>채점</t>
        </is>
      </c>
      <c r="I7" s="17">
        <f>IF(NOT(_xlfn.ISFORMULA(E2)),"↖ 0 지우고 수식",IF(COUNTIF(AB2:AB7,TRUE)=6,"✔ 맞음","✘ 다시 ("&amp;COUNTIF(AB2:AB7,TRUE)&amp;" / 6칸)"))</f>
        <v/>
      </c>
      <c r="J7" s="18" t="n"/>
      <c r="K7" s="18" t="n"/>
      <c r="AA7">
        <f>IF(D7&gt;=80,"통과","재시험")</f>
        <v/>
      </c>
      <c r="AB7">
        <f>AND(_xlfn.ISFORMULA(E7),IFERROR(ROUND(E7,4)=ROUND(AA7,4),EXACT(E7,AA7)))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IF(조건, 참일 때, 거짓일 때)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성적</t>
        </is>
      </c>
      <c r="C1" s="12" t="inlineStr">
        <is>
          <t>봉사</t>
        </is>
      </c>
      <c r="D1" s="12" t="inlineStr">
        <is>
          <t>장학</t>
        </is>
      </c>
      <c r="H1" s="13" t="inlineStr">
        <is>
          <t>9번 · 둘 다 만족해야 장학생</t>
        </is>
      </c>
    </row>
    <row r="2" ht="22" customHeight="1">
      <c r="A2" s="7" t="inlineStr">
        <is>
          <t>박구름</t>
        </is>
      </c>
      <c r="B2" s="7" t="n">
        <v>92</v>
      </c>
      <c r="C2" s="7" t="n">
        <v>20</v>
      </c>
      <c r="D2" s="14" t="n">
        <v>0</v>
      </c>
      <c r="H2" s="15" t="inlineStr">
        <is>
          <t>성적[B2:B6]이 90 이상이면서 봉사[C2:C6]가 15 이상이면 "장학생", 아니면 공백("")을 [D2:D6]에 표시하시오.</t>
        </is>
      </c>
      <c r="AA2">
        <f>IF(AND(B2&gt;=90,C2&gt;=15),"장학생","")</f>
        <v/>
      </c>
      <c r="AB2">
        <f>AND(_xlfn.ISFORMULA(D2),IFERROR(ROUND(D2,4)=ROUND(AA2,4),EXACT(D2,AA2)))</f>
        <v/>
      </c>
    </row>
    <row r="3" ht="22" customHeight="1">
      <c r="A3" s="7" t="inlineStr">
        <is>
          <t>김샛별</t>
        </is>
      </c>
      <c r="B3" s="7" t="n">
        <v>95</v>
      </c>
      <c r="C3" s="7" t="n">
        <v>10</v>
      </c>
      <c r="D3" s="14" t="n">
        <v>0</v>
      </c>
      <c r="AA3">
        <f>IF(AND(B3&gt;=90,C3&gt;=15),"장학생","")</f>
        <v/>
      </c>
      <c r="AB3">
        <f>AND(_xlfn.ISFORMULA(D3),IFERROR(ROUND(D3,4)=ROUND(AA3,4),EXACT(D3,AA3)))</f>
        <v/>
      </c>
    </row>
    <row r="4" ht="22" customHeight="1">
      <c r="A4" s="7" t="inlineStr">
        <is>
          <t>이하람</t>
        </is>
      </c>
      <c r="B4" s="7" t="n">
        <v>90</v>
      </c>
      <c r="C4" s="7" t="n">
        <v>15</v>
      </c>
      <c r="D4" s="14" t="n">
        <v>0</v>
      </c>
      <c r="AA4">
        <f>IF(AND(B4&gt;=90,C4&gt;=15),"장학생","")</f>
        <v/>
      </c>
      <c r="AB4">
        <f>AND(_xlfn.ISFORMULA(D4),IFERROR(ROUND(D4,4)=ROUND(AA4,4),EXACT(D4,AA4)))</f>
        <v/>
      </c>
    </row>
    <row r="5" ht="20" customHeight="1">
      <c r="A5" s="7" t="inlineStr">
        <is>
          <t>최보라</t>
        </is>
      </c>
      <c r="B5" s="7" t="n">
        <v>88</v>
      </c>
      <c r="C5" s="7" t="n">
        <v>30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IF(AND(B5&gt;=90,C5&gt;=15),"장학생","")</f>
        <v/>
      </c>
      <c r="AB5">
        <f>AND(_xlfn.ISFORMULA(D5),IFERROR(ROUND(D5,4)=ROUND(AA5,4),EXACT(D5,AA5)))</f>
        <v/>
      </c>
    </row>
    <row r="6" ht="20" customHeight="1">
      <c r="A6" s="7" t="inlineStr">
        <is>
          <t>정우진</t>
        </is>
      </c>
      <c r="B6" s="7" t="n">
        <v>97</v>
      </c>
      <c r="C6" s="7" t="n">
        <v>16</v>
      </c>
      <c r="D6" s="14" t="n">
        <v>0</v>
      </c>
      <c r="AA6">
        <f>IF(AND(B6&gt;=90,C6&gt;=15),"장학생","")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두 조건을 모두 만족해야 하므로 AND를 씁니다.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판매량</t>
        </is>
      </c>
      <c r="C1" s="12" t="inlineStr">
        <is>
          <t>평가</t>
        </is>
      </c>
      <c r="H1" s="13" t="inlineStr">
        <is>
          <t>10번 · 3단계 등급 나누기</t>
        </is>
      </c>
    </row>
    <row r="2" ht="22" customHeight="1">
      <c r="A2" s="7" t="inlineStr">
        <is>
          <t>모니터</t>
        </is>
      </c>
      <c r="B2" s="7" t="n">
        <v>320</v>
      </c>
      <c r="C2" s="14" t="n">
        <v>0</v>
      </c>
      <c r="H2" s="15" t="inlineStr">
        <is>
          <t>판매량[B2:B7]이 500 이상이면 "최우수", 300 이상이면 "우수", 그 외는 "보통"을 [C2:C7]에 표시하시오.</t>
        </is>
      </c>
      <c r="AA2">
        <f>IF(B2&gt;=500,"최우수",IF(B2&gt;=300,"우수","보통"))</f>
        <v/>
      </c>
      <c r="AB2">
        <f>AND(_xlfn.ISFORMULA(C2),IFERROR(ROUND(C2,4)=ROUND(AA2,4),EXACT(C2,AA2)))</f>
        <v/>
      </c>
    </row>
    <row r="3" ht="22" customHeight="1">
      <c r="A3" s="7" t="inlineStr">
        <is>
          <t>키보드</t>
        </is>
      </c>
      <c r="B3" s="7" t="n">
        <v>500</v>
      </c>
      <c r="C3" s="14" t="n">
        <v>0</v>
      </c>
      <c r="AA3">
        <f>IF(B3&gt;=500,"최우수",IF(B3&gt;=300,"우수","보통"))</f>
        <v/>
      </c>
      <c r="AB3">
        <f>AND(_xlfn.ISFORMULA(C3),IFERROR(ROUND(C3,4)=ROUND(AA3,4),EXACT(C3,AA3)))</f>
        <v/>
      </c>
    </row>
    <row r="4" ht="22" customHeight="1">
      <c r="A4" s="7" t="inlineStr">
        <is>
          <t>마우스</t>
        </is>
      </c>
      <c r="B4" s="7" t="n">
        <v>299</v>
      </c>
      <c r="C4" s="14" t="n">
        <v>0</v>
      </c>
      <c r="AA4">
        <f>IF(B4&gt;=500,"최우수",IF(B4&gt;=300,"우수","보통"))</f>
        <v/>
      </c>
      <c r="AB4">
        <f>AND(_xlfn.ISFORMULA(C4),IFERROR(ROUND(C4,4)=ROUND(AA4,4),EXACT(C4,AA4)))</f>
        <v/>
      </c>
    </row>
    <row r="5" ht="20" customHeight="1">
      <c r="A5" s="7" t="inlineStr">
        <is>
          <t>스피커</t>
        </is>
      </c>
      <c r="B5" s="7" t="n">
        <v>620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IF(B5&gt;=500,"최우수",IF(B5&gt;=300,"우수","보통"))</f>
        <v/>
      </c>
      <c r="AB5">
        <f>AND(_xlfn.ISFORMULA(C5),IFERROR(ROUND(C5,4)=ROUND(AA5,4),EXACT(C5,AA5)))</f>
        <v/>
      </c>
    </row>
    <row r="6" ht="20" customHeight="1">
      <c r="A6" s="7" t="inlineStr">
        <is>
          <t>프린터</t>
        </is>
      </c>
      <c r="B6" s="7" t="n">
        <v>300</v>
      </c>
      <c r="C6" s="14" t="n">
        <v>0</v>
      </c>
      <c r="AA6">
        <f>IF(B6&gt;=500,"최우수",IF(B6&gt;=300,"우수","보통"))</f>
        <v/>
      </c>
      <c r="AB6">
        <f>AND(_xlfn.ISFORMULA(C6),IFERROR(ROUND(C6,4)=ROUND(AA6,4),EXACT(C6,AA6)))</f>
        <v/>
      </c>
    </row>
    <row r="7" ht="24" customHeight="1">
      <c r="A7" s="7" t="inlineStr">
        <is>
          <t>웹캠</t>
        </is>
      </c>
      <c r="B7" s="7" t="n">
        <v>150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IF(B7&gt;=500,"최우수",IF(B7&gt;=300,"우수","보통"))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큰 조건부터 차례로 중첩합니다.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라인</t>
        </is>
      </c>
      <c r="B1" s="12" t="inlineStr">
        <is>
          <t>생산량</t>
        </is>
      </c>
      <c r="C1" s="12" t="inlineStr">
        <is>
          <t>판정</t>
        </is>
      </c>
      <c r="H1" s="13" t="inlineStr">
        <is>
          <t>11번 · 목표량 칸을 기준으로 판정</t>
        </is>
      </c>
    </row>
    <row r="2" ht="22" customHeight="1">
      <c r="A2" s="7" t="inlineStr">
        <is>
          <t>A</t>
        </is>
      </c>
      <c r="B2" s="7" t="n">
        <v>512</v>
      </c>
      <c r="C2" s="14" t="n">
        <v>0</v>
      </c>
      <c r="H2" s="15" t="inlineStr">
        <is>
          <t>생산량[B2:B7]이 목표량[B9] 이상이면 "달성", 아니면 "미달"을 [C2:C7]에 표시하시오. (목표량은 [B9] 칸을 참조)</t>
        </is>
      </c>
      <c r="AA2">
        <f>IF(B2&gt;=$B$9,"달성","미달")</f>
        <v/>
      </c>
      <c r="AB2">
        <f>AND(_xlfn.ISFORMULA(C2),IFERROR(ROUND(C2,4)=ROUND(AA2,4),EXACT(C2,AA2)))</f>
        <v/>
      </c>
    </row>
    <row r="3" ht="22" customHeight="1">
      <c r="A3" s="7" t="inlineStr">
        <is>
          <t>B</t>
        </is>
      </c>
      <c r="B3" s="7" t="n">
        <v>476</v>
      </c>
      <c r="C3" s="14" t="n">
        <v>0</v>
      </c>
      <c r="AA3">
        <f>IF(B3&gt;=$B$9,"달성","미달")</f>
        <v/>
      </c>
      <c r="AB3">
        <f>AND(_xlfn.ISFORMULA(C3),IFERROR(ROUND(C3,4)=ROUND(AA3,4),EXACT(C3,AA3)))</f>
        <v/>
      </c>
    </row>
    <row r="4" ht="22" customHeight="1">
      <c r="A4" s="7" t="inlineStr">
        <is>
          <t>C</t>
        </is>
      </c>
      <c r="B4" s="7" t="n">
        <v>500</v>
      </c>
      <c r="C4" s="14" t="n">
        <v>0</v>
      </c>
      <c r="AA4">
        <f>IF(B4&gt;=$B$9,"달성","미달")</f>
        <v/>
      </c>
      <c r="AB4">
        <f>AND(_xlfn.ISFORMULA(C4),IFERROR(ROUND(C4,4)=ROUND(AA4,4),EXACT(C4,AA4)))</f>
        <v/>
      </c>
    </row>
    <row r="5" ht="20" customHeight="1">
      <c r="A5" s="7" t="inlineStr">
        <is>
          <t>D</t>
        </is>
      </c>
      <c r="B5" s="7" t="n">
        <v>388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IF(B5&gt;=$B$9,"달성","미달")</f>
        <v/>
      </c>
      <c r="AB5">
        <f>AND(_xlfn.ISFORMULA(C5),IFERROR(ROUND(C5,4)=ROUND(AA5,4),EXACT(C5,AA5)))</f>
        <v/>
      </c>
    </row>
    <row r="6" ht="20" customHeight="1">
      <c r="A6" s="7" t="inlineStr">
        <is>
          <t>E</t>
        </is>
      </c>
      <c r="B6" s="7" t="n">
        <v>545</v>
      </c>
      <c r="C6" s="14" t="n">
        <v>0</v>
      </c>
      <c r="AA6">
        <f>IF(B6&gt;=$B$9,"달성","미달")</f>
        <v/>
      </c>
      <c r="AB6">
        <f>AND(_xlfn.ISFORMULA(C6),IFERROR(ROUND(C6,4)=ROUND(AA6,4),EXACT(C6,AA6)))</f>
        <v/>
      </c>
    </row>
    <row r="7" ht="24" customHeight="1">
      <c r="A7" s="7" t="inlineStr">
        <is>
          <t>F</t>
        </is>
      </c>
      <c r="B7" s="7" t="n">
        <v>499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IF(B7&gt;=$B$9,"달성","미달")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>
      <c r="A9" s="7" t="inlineStr">
        <is>
          <t>목표량</t>
        </is>
      </c>
      <c r="B9" s="7" t="n">
        <v>500</v>
      </c>
    </row>
    <row r="11" ht="18" customHeight="1">
      <c r="H11" s="20" t="inlineStr">
        <is>
          <t>💡 막히면: 끌어내리면 B9 도 B10, B11 … 로 따라 내려갑니다. 움직이면 안 되는 칸은 F4 로 고정하세요.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합격/불합격 판정</t>
        </is>
      </c>
      <c r="C5" s="8" t="inlineStr">
        <is>
          <t>E2:E7</t>
        </is>
      </c>
      <c r="D5" s="22" t="inlineStr">
        <is>
          <t>=IF(D2&gt;=160,"합격","불합격")</t>
        </is>
      </c>
      <c r="E5" s="23" t="inlineStr">
        <is>
          <t>IF(조건, 참일 때, 거짓일 때). 문자는 "큰따옴표"로 감쌉니다.</t>
        </is>
      </c>
    </row>
    <row r="6" ht="30" customHeight="1">
      <c r="A6" s="24" t="n">
        <v>2</v>
      </c>
      <c r="B6" s="25" t="inlineStr">
        <is>
          <t>AND로 우수 판정</t>
        </is>
      </c>
      <c r="C6" s="25" t="inlineStr">
        <is>
          <t>D2:D6</t>
        </is>
      </c>
      <c r="D6" s="26" t="inlineStr">
        <is>
          <t>=IF(AND(B2&gt;=80,C2&gt;=80),"우수","")</t>
        </is>
      </c>
      <c r="E6" s="27" t="inlineStr">
        <is>
          <t>AND(조건1, 조건2)는 조건이 모두 참일 때만 TRUE입니다.</t>
        </is>
      </c>
    </row>
    <row r="7" ht="30" customHeight="1">
      <c r="A7" s="7" t="n">
        <v>3</v>
      </c>
      <c r="B7" s="8" t="inlineStr">
        <is>
          <t>OR로 통과 판정</t>
        </is>
      </c>
      <c r="C7" s="8" t="inlineStr">
        <is>
          <t>D2:D7</t>
        </is>
      </c>
      <c r="D7" s="22" t="inlineStr">
        <is>
          <t>=IF(OR(B2&gt;=15,C2&gt;=8),"통과","미달")</t>
        </is>
      </c>
      <c r="E7" s="23" t="inlineStr">
        <is>
          <t>OR(조건1, 조건2)는 하나라도 참이면 TRUE입니다.</t>
        </is>
      </c>
    </row>
    <row r="8" ht="30" customHeight="1">
      <c r="A8" s="24" t="n">
        <v>4</v>
      </c>
      <c r="B8" s="25" t="inlineStr">
        <is>
          <t>IF 중첩으로 등급</t>
        </is>
      </c>
      <c r="C8" s="25" t="inlineStr">
        <is>
          <t>C2:C7</t>
        </is>
      </c>
      <c r="D8" s="26" t="inlineStr">
        <is>
          <t>=IF(B2&gt;=90,"A",IF(B2&gt;=80,"B","C"))</t>
        </is>
      </c>
      <c r="E8" s="27" t="inlineStr">
        <is>
          <t>큰 조건부터 차례로 씁니다. IF( , , IF( , , ))</t>
        </is>
      </c>
    </row>
    <row r="9" ht="30" customHeight="1">
      <c r="A9" s="7" t="n">
        <v>5</v>
      </c>
      <c r="B9" s="8" t="inlineStr">
        <is>
          <t>짝수/홀수 구분</t>
        </is>
      </c>
      <c r="C9" s="8" t="inlineStr">
        <is>
          <t>B2:B7</t>
        </is>
      </c>
      <c r="D9" s="22" t="inlineStr">
        <is>
          <t>=IF(MOD(A2,2)=0,"짝","홀")</t>
        </is>
      </c>
      <c r="E9" s="23" t="inlineStr">
        <is>
          <t>MOD(수,2)의 나머지가 0이면 짝수입니다.</t>
        </is>
      </c>
    </row>
    <row r="10" ht="30" customHeight="1">
      <c r="A10" s="24" t="n">
        <v>6</v>
      </c>
      <c r="B10" s="25" t="inlineStr">
        <is>
          <t>오류를 하이픈으로</t>
        </is>
      </c>
      <c r="C10" s="25" t="inlineStr">
        <is>
          <t>D2:D6</t>
        </is>
      </c>
      <c r="D10" s="26" t="inlineStr">
        <is>
          <t>=IFERROR(ROUND(C2/B2*100,0),"-")</t>
        </is>
      </c>
      <c r="E10" s="27" t="inlineStr">
        <is>
          <t>IFERROR(수식, 오류일 때 표시할 값)</t>
        </is>
      </c>
    </row>
    <row r="11" ht="30" customHeight="1">
      <c r="A11" s="7" t="n">
        <v>7</v>
      </c>
      <c r="B11" s="8" t="inlineStr">
        <is>
          <t>NOT으로 반대 조건</t>
        </is>
      </c>
      <c r="C11" s="8" t="inlineStr">
        <is>
          <t>C2:C6</t>
        </is>
      </c>
      <c r="D11" s="22" t="inlineStr">
        <is>
          <t>=IF(NOT(B2="제출"),"독촉","")</t>
        </is>
      </c>
      <c r="E11" s="23" t="inlineStr">
        <is>
          <t>NOT(조건)은 참·거짓을 뒤집습니다.</t>
        </is>
      </c>
    </row>
    <row r="12" ht="30" customHeight="1">
      <c r="A12" s="24" t="n">
        <v>8</v>
      </c>
      <c r="B12" s="25" t="inlineStr">
        <is>
          <t>평균으로 통과 여부</t>
        </is>
      </c>
      <c r="C12" s="25" t="inlineStr">
        <is>
          <t>E2:E7</t>
        </is>
      </c>
      <c r="D12" s="26" t="inlineStr">
        <is>
          <t>=IF(D2&gt;=80,"통과","재시험")</t>
        </is>
      </c>
      <c r="E12" s="27" t="inlineStr">
        <is>
          <t>IF(조건, 참일 때, 거짓일 때)</t>
        </is>
      </c>
    </row>
    <row r="13" ht="30" customHeight="1">
      <c r="A13" s="7" t="n">
        <v>9</v>
      </c>
      <c r="B13" s="8" t="inlineStr">
        <is>
          <t>둘 다 만족해야 장학생</t>
        </is>
      </c>
      <c r="C13" s="8" t="inlineStr">
        <is>
          <t>D2:D6</t>
        </is>
      </c>
      <c r="D13" s="22" t="inlineStr">
        <is>
          <t>=IF(AND(B2&gt;=90,C2&gt;=15),"장학생","")</t>
        </is>
      </c>
      <c r="E13" s="23" t="inlineStr">
        <is>
          <t>두 조건을 모두 만족해야 하므로 AND를 씁니다.</t>
        </is>
      </c>
    </row>
    <row r="14" ht="30" customHeight="1">
      <c r="A14" s="24" t="n">
        <v>10</v>
      </c>
      <c r="B14" s="25" t="inlineStr">
        <is>
          <t>3단계 등급 나누기</t>
        </is>
      </c>
      <c r="C14" s="25" t="inlineStr">
        <is>
          <t>C2:C7</t>
        </is>
      </c>
      <c r="D14" s="26" t="inlineStr">
        <is>
          <t>=IF(B2&gt;=500,"최우수",IF(B2&gt;=300,"우수","보통"))</t>
        </is>
      </c>
      <c r="E14" s="27" t="inlineStr">
        <is>
          <t>큰 조건부터 차례로 중첩합니다.</t>
        </is>
      </c>
    </row>
    <row r="15" ht="30" customHeight="1">
      <c r="A15" s="7" t="n">
        <v>11</v>
      </c>
      <c r="B15" s="8" t="inlineStr">
        <is>
          <t>목표량 칸을 기준으로 판정</t>
        </is>
      </c>
      <c r="C15" s="8" t="inlineStr">
        <is>
          <t>C2:C7</t>
        </is>
      </c>
      <c r="D15" s="22" t="inlineStr">
        <is>
          <t>=IF(B2&gt;=$B$9,"달성","미달")</t>
        </is>
      </c>
      <c r="E15" s="23" t="inlineStr">
        <is>
          <t>끌어내리면 B9 도 B10, B11 … 로 따라 내려갑니다. 움직이면 안 되는 칸은 F4 로 고정하세요.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2026-09-28T00:29:27Z</dcterms:created>
  <dcterms:modified xmlns:dcterms="http://purl.org/dc/terms/" xmlns:xsi="http://www.w3.org/2001/XMLSchema-instance" xsi:type="dcterms:W3CDTF">2026-09-28T00:29:27Z</dcterms:modified>
</cp:coreProperties>
</file>