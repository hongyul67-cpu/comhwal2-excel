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따라하기" sheetId="2" state="visible" r:id="rId2"/>
    <sheet xmlns:r="http://schemas.openxmlformats.org/officeDocument/2006/relationships" name="품질검사" sheetId="3" state="visible" r:id="rId3"/>
    <sheet xmlns:r="http://schemas.openxmlformats.org/officeDocument/2006/relationships" name="DB조건" sheetId="4" state="visible" r:id="rId4"/>
    <sheet xmlns:r="http://schemas.openxmlformats.org/officeDocument/2006/relationships" name="함수사전" sheetId="5" state="visible" r:id="rId5"/>
    <sheet xmlns:r="http://schemas.openxmlformats.org/officeDocument/2006/relationships" name="정답·해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0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1F3864"/>
      <sz val="14"/>
    </font>
    <font>
      <b val="1"/>
      <color rgb="00FFFFFF"/>
      <sz val="12"/>
    </font>
    <font>
      <b val="1"/>
      <color rgb="00C55A11"/>
      <sz val="10"/>
    </font>
    <font>
      <b val="1"/>
      <color rgb="00C55A11"/>
      <sz val="10.5"/>
    </font>
    <font>
      <b val="1"/>
      <color rgb="002E5C8A"/>
      <sz val="10"/>
    </font>
    <font>
      <sz val="10.5"/>
    </font>
    <font>
      <color rgb="007F7F7F"/>
      <sz val="10"/>
    </font>
    <font>
      <b val="1"/>
      <color rgb="00006100"/>
      <sz val="10"/>
    </font>
    <font>
      <color rgb="00006100"/>
      <sz val="10.5"/>
    </font>
    <font>
      <b val="1"/>
      <color rgb="001F3864"/>
      <sz val="15"/>
    </font>
    <font>
      <b val="1"/>
      <color rgb="00FFFFFF"/>
      <sz val="11"/>
    </font>
    <font>
      <i val="1"/>
      <color rgb="00A6A6A6"/>
    </font>
    <font>
      <b val="1"/>
      <color rgb="001F3864"/>
    </font>
    <font>
      <b val="1"/>
      <color rgb="002E5C8A"/>
    </font>
    <font>
      <b val="1"/>
      <color rgb="001F4E79"/>
      <sz val="10"/>
    </font>
    <font>
      <b val="1"/>
      <color rgb="002E5C8A"/>
      <sz val="10.5"/>
    </font>
    <font>
      <b val="1"/>
      <sz val="10"/>
    </font>
    <font>
      <b val="1"/>
      <color rgb="00C55A11"/>
      <sz val="11.5"/>
    </font>
    <font>
      <name val="Consolas"/>
      <b val="1"/>
      <color rgb="001F4E79"/>
      <sz val="10.5"/>
    </font>
    <font>
      <sz val="10"/>
    </font>
    <font>
      <name val="Consolas"/>
      <sz val="10"/>
    </font>
    <font>
      <b val="1"/>
      <color rgb="00006100"/>
    </font>
    <font>
      <b val="1"/>
      <color rgb="00FFFFFF"/>
      <sz val="11.5"/>
    </font>
    <font>
      <b val="1"/>
      <color rgb="00C55A11"/>
    </font>
    <font>
      <name val="Consolas"/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EBF7EE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7EEF8"/>
      </patternFill>
    </fill>
    <fill>
      <patternFill patternType="solid">
        <fgColor rgb="007B4FBF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/>
    </xf>
    <xf numFmtId="0" fontId="13" fillId="4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right" vertical="center"/>
    </xf>
    <xf numFmtId="0" fontId="19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8" borderId="0" applyAlignment="1" pivotButton="0" quotePrefix="0" xfId="0">
      <alignment vertical="center"/>
    </xf>
    <xf numFmtId="0" fontId="2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1" fillId="0" borderId="1" applyAlignment="1" pivotButton="0" quotePrefix="0" xfId="0">
      <alignment horizontal="center" vertical="center"/>
    </xf>
    <xf numFmtId="165" fontId="16" fillId="5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23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horizontal="center" vertical="center"/>
    </xf>
    <xf numFmtId="0" fontId="27" fillId="6" borderId="0" applyAlignment="1" pivotButton="0" quotePrefix="0" xfId="0">
      <alignment vertical="center"/>
    </xf>
    <xf numFmtId="0" fontId="28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vertical="center" wrapText="1"/>
    </xf>
    <xf numFmtId="0" fontId="29" fillId="9" borderId="1" applyAlignment="1" pivotButton="0" quotePrefix="0" xfId="0">
      <alignment vertical="center" wrapText="1"/>
    </xf>
    <xf numFmtId="0" fontId="26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1급 실기 ① 계산작업 — 공정 품질검사 기록</t>
        </is>
      </c>
    </row>
    <row r="3" ht="19" customHeight="1">
      <c r="B3" s="2" t="inlineStr"/>
    </row>
    <row r="4" ht="19" customHeight="1">
      <c r="B4" s="2" t="inlineStr">
        <is>
          <t>검사 기록 30건입니다. 1급의 고비인 배열 수식 · 다중 조건 · 찾기참조 중첩을 집중해서 풉니다.</t>
        </is>
      </c>
    </row>
    <row r="5" ht="19" customHeight="1">
      <c r="B5" s="2" t="inlineStr"/>
    </row>
    <row r="6" ht="24" customHeight="1">
      <c r="B6" s="3" t="inlineStr">
        <is>
          <t>이 파일을 푸는 법</t>
        </is>
      </c>
    </row>
    <row r="7" ht="19" customHeight="1">
      <c r="B7" s="2" t="inlineStr">
        <is>
          <t>① 노란 칸에는 0 이 들어 있습니다. 그 0 을 지우고 = 로 시작하는 수식을 넣습니다.</t>
        </is>
      </c>
    </row>
    <row r="8" ht="19" customHeight="1">
      <c r="B8" s="2" t="inlineStr">
        <is>
          <t>② 문제 왼쪽의  ▶F40  같은 표시가 '답을 넣을 칸' 입니다.</t>
        </is>
      </c>
    </row>
    <row r="9" ht="19" customHeight="1">
      <c r="B9" s="2" t="inlineStr">
        <is>
          <t>③ 넣고 나면 오른쪽 [채점] 칸이 스스로 ✔ 맞음 / ✘ 다시 로 바뀝니다.</t>
        </is>
      </c>
    </row>
    <row r="10" ht="19" customHeight="1">
      <c r="B10" s="2" t="inlineStr"/>
    </row>
    <row r="11" ht="24" customHeight="1">
      <c r="B11" s="3" t="inlineStr">
        <is>
          <t>시트 안내</t>
        </is>
      </c>
    </row>
    <row r="12" ht="19" customHeight="1">
      <c r="B12" s="2" t="inlineStr">
        <is>
          <t>따라하기  — 배열 수식을 처음 넣어 보는 사람이 먼저 볼 것</t>
        </is>
      </c>
    </row>
    <row r="13" ht="19" customHeight="1">
      <c r="B13" s="2" t="inlineStr">
        <is>
          <t>품질검사  — 표의 노란 열 4개(H~K) + 아래쪽 집계 34문제</t>
        </is>
      </c>
    </row>
    <row r="14" ht="19" customHeight="1">
      <c r="B14" s="2" t="inlineStr">
        <is>
          <t>DB조건   — 데이터베이스 함수 10문제 + 고급 필터용 수식 조건</t>
        </is>
      </c>
    </row>
    <row r="15" ht="19" customHeight="1">
      <c r="B15" s="2" t="inlineStr">
        <is>
          <t>함수사전  — 1급에 나오는 함수의 형식 · 살아 있는 예시 · 자주 하는 실수</t>
        </is>
      </c>
    </row>
    <row r="16" ht="19" customHeight="1">
      <c r="B16" s="2" t="inlineStr">
        <is>
          <t>정답·해설 — 넣을 칸 · 정답 수식 · 정답값 · 왜 그런지</t>
        </is>
      </c>
    </row>
    <row r="17" ht="19" customHeight="1">
      <c r="B17" s="2" t="inlineStr"/>
    </row>
    <row r="18" ht="24" customHeight="1">
      <c r="B18" s="3" t="inlineStr">
        <is>
          <t>배열 수식이란</t>
        </is>
      </c>
    </row>
    <row r="19" ht="19" customHeight="1">
      <c r="B19" s="2" t="inlineStr">
        <is>
          <t>조건을 TRUE/FALSE 로 만든 다음, 그것을 숫자처럼 곱해서 한 번에 계산하는 방법입니다.</t>
        </is>
      </c>
    </row>
    <row r="20" ht="19" customHeight="1">
      <c r="B20" s="2" t="inlineStr">
        <is>
          <t xml:space="preserve">  SUM((공정범위="가공") * 불량수범위)  →  가공인 줄만 1 이 되어 그 줄의 불량수만 더해집니다.</t>
        </is>
      </c>
    </row>
    <row r="21" ht="19" customHeight="1">
      <c r="B21" s="2" t="inlineStr">
        <is>
          <t>★ 입력을 마칠 때 그냥 Enter 가 아니라 Ctrl + Shift + Enter 를 누릅니다.</t>
        </is>
      </c>
    </row>
    <row r="22" ht="19" customHeight="1">
      <c r="B22" s="2" t="inlineStr">
        <is>
          <t xml:space="preserve">   제대로 들어가면 수식 양옆에 중괄호 { } 가 저절로 붙습니다 (직접 타이핑하면 안 됩니다).</t>
        </is>
      </c>
    </row>
    <row r="23" ht="19" customHeight="1">
      <c r="B23" s="2" t="inlineStr">
        <is>
          <t xml:space="preserve">   M365·2021 이후 버전은 그냥 Enter 로도 되지만, 시험장 버전에 맞춰 연습하세요.</t>
        </is>
      </c>
    </row>
    <row r="24" ht="34" customHeight="1">
      <c r="B24" s="4" t="inlineStr">
        <is>
          <t>SUMPRODUCT 를 쓰면 Ctrl+Shift+Enter 없이도 같은 계산이 됩니다. 다만 시험에서 문제가 함수를 지정했다면 그 함수를 써야 합니다.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50" customWidth="1" min="3" max="3"/>
  </cols>
  <sheetData>
    <row r="1" ht="26" customHeight="1">
      <c r="A1" s="5" t="inlineStr">
        <is>
          <t>1급 계산작업 — 먼저 이 네 가지</t>
        </is>
      </c>
    </row>
    <row r="2" ht="30" customHeight="1">
      <c r="A2" s="6" t="inlineStr">
        <is>
          <t>1급에서 가장 많이 막히는 곳이 배열 수식입니다. 아래 순서대로 한 번만 해 보면 감이 옵니다.</t>
        </is>
      </c>
    </row>
    <row r="4" ht="24" customHeight="1">
      <c r="A4" s="7" t="inlineStr">
        <is>
          <t xml:space="preserve">  미션 1 · 배열 수식 넣기</t>
        </is>
      </c>
    </row>
    <row r="5" ht="20" customHeight="1">
      <c r="A5" s="8" t="inlineStr">
        <is>
          <t>어디서</t>
        </is>
      </c>
      <c r="B5" s="9" t="inlineStr">
        <is>
          <t>[품질검사] 시트 집계 1번 칸</t>
        </is>
      </c>
    </row>
    <row r="6" ht="28" customHeight="1">
      <c r="A6" s="10" t="inlineStr">
        <is>
          <t>1단계</t>
        </is>
      </c>
      <c r="B6" s="11" t="inlineStr">
        <is>
          <t>집계 1번의 ▶ 표시가 가리키는 칸을 클릭하고 0 을 지웁니다.</t>
        </is>
      </c>
      <c r="C6" s="12" t="inlineStr">
        <is>
          <t>번호 옆에 F40 처럼 주소가 적혀 있습니다</t>
        </is>
      </c>
    </row>
    <row r="7" ht="28" customHeight="1">
      <c r="A7" s="10" t="inlineStr">
        <is>
          <t>2단계</t>
        </is>
      </c>
      <c r="B7" s="11" t="inlineStr">
        <is>
          <t>=SUM((C5:C34="가공")*F5:F34)  를 입력합니다.</t>
        </is>
      </c>
      <c r="C7" s="12" t="inlineStr">
        <is>
          <t>중괄호 { } 는 치지 않습니다</t>
        </is>
      </c>
    </row>
    <row r="8" ht="28" customHeight="1">
      <c r="A8" s="10" t="inlineStr">
        <is>
          <t>3단계</t>
        </is>
      </c>
      <c r="B8" s="11" t="inlineStr">
        <is>
          <t>★ Enter 가 아니라  Ctrl + Shift + Enter  를 함께 누릅니다.</t>
        </is>
      </c>
      <c r="C8" s="12" t="inlineStr">
        <is>
          <t>세 손가락을 동시에 누릅니다</t>
        </is>
      </c>
    </row>
    <row r="9" ht="28" customHeight="1">
      <c r="A9" s="10" t="inlineStr">
        <is>
          <t>4단계</t>
        </is>
      </c>
      <c r="B9" s="11" t="inlineStr">
        <is>
          <t>칸을 다시 클릭해 수식 줄을 봅니다.</t>
        </is>
      </c>
      <c r="C9" s="12" t="inlineStr">
        <is>
          <t>{=SUM((C5:C34="가공")*F5:F34)} 처럼 중괄호가 붙어 있으면 성공</t>
        </is>
      </c>
    </row>
    <row r="10" ht="26" customHeight="1">
      <c r="A10" s="13" t="inlineStr">
        <is>
          <t>확인</t>
        </is>
      </c>
      <c r="B10" s="14" t="inlineStr">
        <is>
          <t>이렇게 되면 성공 — 99 같은 숫자가 나오고 채점 칸이 ✔ 맞음 으로 바뀝니다</t>
        </is>
      </c>
    </row>
    <row r="12" ht="24" customHeight="1">
      <c r="A12" s="7" t="inlineStr">
        <is>
          <t xml:space="preserve">  미션 2 · 조건을 곱하고 더하는 뜻 이해하기</t>
        </is>
      </c>
    </row>
    <row r="13" ht="20" customHeight="1">
      <c r="A13" s="8" t="inlineStr">
        <is>
          <t>어디서</t>
        </is>
      </c>
      <c r="B13" s="9" t="inlineStr">
        <is>
          <t>[품질검사] 아무 빈 칸에서 연습</t>
        </is>
      </c>
    </row>
    <row r="14" ht="28" customHeight="1">
      <c r="A14" s="10" t="inlineStr">
        <is>
          <t>1단계</t>
        </is>
      </c>
      <c r="B14" s="11" t="inlineStr">
        <is>
          <t>빈 칸에  =(C5="가공")  을 넣고 Enter.</t>
        </is>
      </c>
      <c r="C14" s="12" t="inlineStr">
        <is>
          <t>TRUE 또는 FALSE 가 나옵니다</t>
        </is>
      </c>
    </row>
    <row r="15" ht="28" customHeight="1">
      <c r="A15" s="10" t="inlineStr">
        <is>
          <t>2단계</t>
        </is>
      </c>
      <c r="B15" s="11" t="inlineStr">
        <is>
          <t>=(C5="가공")*1  을 넣어 봅니다.</t>
        </is>
      </c>
      <c r="C15" s="12" t="inlineStr">
        <is>
          <t>TRUE 는 1, FALSE 는 0 이 됩니다</t>
        </is>
      </c>
    </row>
    <row r="16" ht="28" customHeight="1">
      <c r="A16" s="10" t="inlineStr">
        <is>
          <t>3단계</t>
        </is>
      </c>
      <c r="B16" s="11" t="inlineStr">
        <is>
          <t>=(C5="가공")*(F5&gt;=10)  을 넣어 봅니다.</t>
        </is>
      </c>
      <c r="C16" s="12" t="inlineStr">
        <is>
          <t>둘 다 참일 때만 1 — 곱하기가 '그리고'</t>
        </is>
      </c>
    </row>
    <row r="17" ht="28" customHeight="1">
      <c r="A17" s="10" t="inlineStr">
        <is>
          <t>4단계</t>
        </is>
      </c>
      <c r="B17" s="11" t="inlineStr">
        <is>
          <t>=(C5="조립")+(C5="검사")  을 넣어 봅니다.</t>
        </is>
      </c>
      <c r="C17" s="12" t="inlineStr">
        <is>
          <t>둘 중 하나면 1 — 더하기가 '또는'</t>
        </is>
      </c>
    </row>
    <row r="18" ht="26" customHeight="1">
      <c r="A18" s="13" t="inlineStr">
        <is>
          <t>확인</t>
        </is>
      </c>
      <c r="B18" s="14" t="inlineStr">
        <is>
          <t>이렇게 되면 성공 — 곱하기=그리고, 더하기=또는 이라는 것이 눈으로 확인됩니다</t>
        </is>
      </c>
    </row>
    <row r="20" ht="24" customHeight="1">
      <c r="A20" s="7" t="inlineStr">
        <is>
          <t xml:space="preserve">  미션 3 · INDEX + MATCH 만들기</t>
        </is>
      </c>
    </row>
    <row r="21" ht="20" customHeight="1">
      <c r="A21" s="8" t="inlineStr">
        <is>
          <t>어디서</t>
        </is>
      </c>
      <c r="B21" s="9" t="inlineStr">
        <is>
          <t>[품질검사] 찾기·참조 문제</t>
        </is>
      </c>
    </row>
    <row r="22" ht="28" customHeight="1">
      <c r="A22" s="10" t="inlineStr">
        <is>
          <t>1단계</t>
        </is>
      </c>
      <c r="B22" s="11" t="inlineStr">
        <is>
          <t>먼저 MATCH 만 써 봅니다 :  =MATCH(MAX(F5:F34),F5:F34,0)</t>
        </is>
      </c>
      <c r="C22" s="12" t="inlineStr">
        <is>
          <t>몇 번째 줄인지(숫자)가 나옵니다</t>
        </is>
      </c>
    </row>
    <row r="23" ht="28" customHeight="1">
      <c r="A23" s="10" t="inlineStr">
        <is>
          <t>2단계</t>
        </is>
      </c>
      <c r="B23" s="11" t="inlineStr">
        <is>
          <t>그 숫자를 INDEX 에 넣습니다 :  =INDEX(B5:B34, 그 숫자)</t>
        </is>
      </c>
      <c r="C23" s="12" t="inlineStr">
        <is>
          <t>그 자리의 로트번호가 나옵니다</t>
        </is>
      </c>
    </row>
    <row r="24" ht="28" customHeight="1">
      <c r="A24" s="10" t="inlineStr">
        <is>
          <t>3단계</t>
        </is>
      </c>
      <c r="B24" s="11" t="inlineStr">
        <is>
          <t>둘을 하나로 합칩니다 :  =INDEX(B5:B34,MATCH(MAX(F5:F34),F5:F34,0))</t>
        </is>
      </c>
      <c r="C24" s="12" t="inlineStr">
        <is>
          <t>안쪽부터 계산됩니다</t>
        </is>
      </c>
    </row>
    <row r="25" ht="28" customHeight="1">
      <c r="A25" s="10" t="inlineStr">
        <is>
          <t>4단계</t>
        </is>
      </c>
      <c r="B25" s="11" t="inlineStr">
        <is>
          <t>범위 두 개(B5:B34 와 F5:F34)의 줄 수가 같은지 꼭 확인합니다.</t>
        </is>
      </c>
      <c r="C25" s="12" t="inlineStr">
        <is>
          <t>한 줄이라도 어긋나면 엉뚱한 값이 나옵니다</t>
        </is>
      </c>
    </row>
    <row r="26" ht="26" customHeight="1">
      <c r="A26" s="13" t="inlineStr">
        <is>
          <t>확인</t>
        </is>
      </c>
      <c r="B26" s="14" t="inlineStr">
        <is>
          <t>이렇게 되면 성공 — 불량이 가장 많았던 로트번호가 나옵니다</t>
        </is>
      </c>
    </row>
    <row r="28" ht="24" customHeight="1">
      <c r="A28" s="7" t="inlineStr">
        <is>
          <t xml:space="preserve">  미션 4 · 채점 칸 읽기 · 정답 보기</t>
        </is>
      </c>
    </row>
    <row r="29" ht="20" customHeight="1">
      <c r="A29" s="8" t="inlineStr">
        <is>
          <t>어디서</t>
        </is>
      </c>
      <c r="B29" s="9" t="inlineStr">
        <is>
          <t>[품질검사] [채점] 열 · [정답·해설] 시트</t>
        </is>
      </c>
    </row>
    <row r="30" ht="28" customHeight="1">
      <c r="A30" s="10" t="inlineStr">
        <is>
          <t>1단계</t>
        </is>
      </c>
      <c r="B30" s="11" t="inlineStr">
        <is>
          <t>아직 수식이 없으면  ↖ 0 지우고 수식  이라고 나옵니다.</t>
        </is>
      </c>
      <c r="C30" s="12" t="inlineStr">
        <is>
          <t>0 은 답이 아니라 '여기에 넣으라' 는 표시</t>
        </is>
      </c>
    </row>
    <row r="31" ht="28" customHeight="1">
      <c r="A31" s="10" t="inlineStr">
        <is>
          <t>2단계</t>
        </is>
      </c>
      <c r="B31" s="11" t="inlineStr">
        <is>
          <t>맞으면 ✔ 맞음(초록), 틀리면 ✘ 다시(빨강).</t>
        </is>
      </c>
      <c r="C31" s="12" t="inlineStr">
        <is>
          <t>수식이 달라도 결과값이 같으면 맞음입니다</t>
        </is>
      </c>
    </row>
    <row r="32" ht="28" customHeight="1">
      <c r="A32" s="10" t="inlineStr">
        <is>
          <t>3단계</t>
        </is>
      </c>
      <c r="B32" s="11" t="inlineStr">
        <is>
          <t>배열 문제에서 #VALUE! 가 나오면 Ctrl+Shift+Enter 를 안 누른 것입니다.</t>
        </is>
      </c>
      <c r="C32" s="12" t="inlineStr">
        <is>
          <t>수식 줄을 클릭한 뒤 다시 Ctrl+Shift+Enter</t>
        </is>
      </c>
    </row>
    <row r="33" ht="28" customHeight="1">
      <c r="A33" s="10" t="inlineStr">
        <is>
          <t>4단계</t>
        </is>
      </c>
      <c r="B33" s="11" t="inlineStr">
        <is>
          <t>[정답·해설] 시트에 넣을 칸·정답 수식·정답값이 다 있습니다.</t>
        </is>
      </c>
      <c r="C33" s="12" t="inlineStr">
        <is>
          <t>먼저 스스로 해 본 뒤에 보세요</t>
        </is>
      </c>
    </row>
    <row r="34" ht="26" customHeight="1">
      <c r="A34" s="13" t="inlineStr">
        <is>
          <t>확인</t>
        </is>
      </c>
      <c r="B34" s="14" t="inlineStr">
        <is>
          <t>이렇게 되면 성공 — 문제를 풀수록 초록 칸이 늘어납니다</t>
        </is>
      </c>
    </row>
  </sheetData>
  <mergeCells count="14">
    <mergeCell ref="B13:C13"/>
    <mergeCell ref="A28:C28"/>
    <mergeCell ref="B18:C18"/>
    <mergeCell ref="B21:C21"/>
    <mergeCell ref="B29:C29"/>
    <mergeCell ref="A1:C1"/>
    <mergeCell ref="B5:C5"/>
    <mergeCell ref="B34:C34"/>
    <mergeCell ref="B10:C10"/>
    <mergeCell ref="B26:C26"/>
    <mergeCell ref="A12:C12"/>
    <mergeCell ref="A4:C4"/>
    <mergeCell ref="A20:C20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0" customWidth="1" min="4" max="4"/>
    <col width="11" customWidth="1" min="5" max="5"/>
    <col width="9" customWidth="1" min="6" max="6"/>
    <col width="12" customWidth="1" min="7" max="7"/>
    <col width="11" customWidth="1" min="8" max="8"/>
    <col width="8" customWidth="1" min="9" max="9"/>
    <col width="11" customWidth="1" min="10" max="10"/>
    <col width="10" customWidth="1" min="11" max="11"/>
    <col width="11" customWidth="1" min="12" max="12"/>
    <col width="3" customWidth="1" min="13" max="13"/>
    <col width="13" customWidth="1" min="14" max="14"/>
    <col width="9" customWidth="1" min="15" max="15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26" customHeight="1">
      <c r="A1" s="15" t="inlineStr">
        <is>
          <t>2026년 3월 · 공정 품질검사 기록</t>
        </is>
      </c>
    </row>
    <row r="2" ht="30" customHeight="1">
      <c r="A2" s="6" t="inlineStr">
        <is>
          <t>노란 칸의 0 을 지우고 수식을 넣으세요.  H 불량률 = 불량수÷검사수량  ·  I 등급(IFS) · J 규격판정(50.00±0.05)  ·  K 로트월(로트번호 5번째부터 2글자)</t>
        </is>
      </c>
    </row>
    <row r="4" ht="24" customHeight="1">
      <c r="A4" s="16" t="inlineStr">
        <is>
          <t>검사일</t>
        </is>
      </c>
      <c r="B4" s="16" t="inlineStr">
        <is>
          <t>로트번호</t>
        </is>
      </c>
      <c r="C4" s="16" t="inlineStr">
        <is>
          <t>공정</t>
        </is>
      </c>
      <c r="D4" s="16" t="inlineStr">
        <is>
          <t>작업자</t>
        </is>
      </c>
      <c r="E4" s="16" t="inlineStr">
        <is>
          <t>검사수량</t>
        </is>
      </c>
      <c r="F4" s="16" t="inlineStr">
        <is>
          <t>불량수</t>
        </is>
      </c>
      <c r="G4" s="16" t="inlineStr">
        <is>
          <t>측정값(mm)</t>
        </is>
      </c>
      <c r="H4" s="16" t="inlineStr">
        <is>
          <t>불량률</t>
        </is>
      </c>
      <c r="I4" s="16" t="inlineStr">
        <is>
          <t>등급</t>
        </is>
      </c>
      <c r="J4" s="16" t="inlineStr">
        <is>
          <t>규격판정</t>
        </is>
      </c>
      <c r="K4" s="16" t="inlineStr">
        <is>
          <t>로트월</t>
        </is>
      </c>
      <c r="N4" s="17" t="inlineStr">
        <is>
          <t>불량률 하한</t>
        </is>
      </c>
      <c r="O4" s="17" t="inlineStr">
        <is>
          <t>등급</t>
        </is>
      </c>
    </row>
    <row r="5">
      <c r="A5" s="18" t="n">
        <v>46083</v>
      </c>
      <c r="B5" s="19" t="inlineStr">
        <is>
          <t>L26-0302-A</t>
        </is>
      </c>
      <c r="C5" s="19" t="inlineStr">
        <is>
          <t>가공</t>
        </is>
      </c>
      <c r="D5" s="19" t="inlineStr">
        <is>
          <t>김현수</t>
        </is>
      </c>
      <c r="E5" s="20" t="n">
        <v>480</v>
      </c>
      <c r="F5" s="21" t="n">
        <v>4</v>
      </c>
      <c r="G5" s="22" t="n">
        <v>50.02</v>
      </c>
      <c r="H5" s="23" t="n">
        <v>0</v>
      </c>
      <c r="I5" s="24" t="n">
        <v>0</v>
      </c>
      <c r="J5" s="24" t="n">
        <v>0</v>
      </c>
      <c r="K5" s="24" t="n">
        <v>0</v>
      </c>
      <c r="N5" s="25" t="n">
        <v>0</v>
      </c>
      <c r="O5" s="19" t="inlineStr">
        <is>
          <t>A</t>
        </is>
      </c>
      <c r="AB5">
        <f>F5/E5</f>
        <v/>
      </c>
      <c r="AC5">
        <f>_xlfn.IFS(F5/E5&lt;1%,"A",F5/E5&lt;3%,"B",F5/E5&lt;5%,"C",TRUE,"D")</f>
        <v/>
      </c>
      <c r="AD5">
        <f>IF(AND(G5&gt;=49.95,G5&lt;=50.05),"합격","불합격")</f>
        <v/>
      </c>
      <c r="AE5">
        <f>MID(B5,5,2)</f>
        <v/>
      </c>
    </row>
    <row r="6">
      <c r="A6" s="18" t="n">
        <v>46083</v>
      </c>
      <c r="B6" s="19" t="inlineStr">
        <is>
          <t>L26-0302-B</t>
        </is>
      </c>
      <c r="C6" s="19" t="inlineStr">
        <is>
          <t>조립</t>
        </is>
      </c>
      <c r="D6" s="19" t="inlineStr">
        <is>
          <t>박지훈</t>
        </is>
      </c>
      <c r="E6" s="20" t="n">
        <v>320</v>
      </c>
      <c r="F6" s="21" t="n">
        <v>9</v>
      </c>
      <c r="G6" s="22" t="n">
        <v>49.97</v>
      </c>
      <c r="H6" s="26" t="n"/>
      <c r="I6" s="27" t="n"/>
      <c r="J6" s="27" t="n"/>
      <c r="K6" s="27" t="n"/>
      <c r="N6" s="25" t="n">
        <v>0.01</v>
      </c>
      <c r="O6" s="19" t="inlineStr">
        <is>
          <t>B</t>
        </is>
      </c>
      <c r="AB6">
        <f>F6/E6</f>
        <v/>
      </c>
      <c r="AC6">
        <f>_xlfn.IFS(F6/E6&lt;1%,"A",F6/E6&lt;3%,"B",F6/E6&lt;5%,"C",TRUE,"D")</f>
        <v/>
      </c>
      <c r="AD6">
        <f>IF(AND(G6&gt;=49.95,G6&lt;=50.05),"합격","불합격")</f>
        <v/>
      </c>
      <c r="AE6">
        <f>MID(B6,5,2)</f>
        <v/>
      </c>
    </row>
    <row r="7">
      <c r="A7" s="18" t="n">
        <v>46084</v>
      </c>
      <c r="B7" s="19" t="inlineStr">
        <is>
          <t>L26-0303-A</t>
        </is>
      </c>
      <c r="C7" s="19" t="inlineStr">
        <is>
          <t>가공</t>
        </is>
      </c>
      <c r="D7" s="19" t="inlineStr">
        <is>
          <t>이서연</t>
        </is>
      </c>
      <c r="E7" s="20" t="n">
        <v>510</v>
      </c>
      <c r="F7" s="21" t="n">
        <v>16</v>
      </c>
      <c r="G7" s="22" t="n">
        <v>50.08</v>
      </c>
      <c r="H7" s="26" t="n"/>
      <c r="I7" s="27" t="n"/>
      <c r="J7" s="27" t="n"/>
      <c r="K7" s="27" t="n"/>
      <c r="N7" s="25" t="n">
        <v>0.03</v>
      </c>
      <c r="O7" s="19" t="inlineStr">
        <is>
          <t>C</t>
        </is>
      </c>
      <c r="AB7">
        <f>F7/E7</f>
        <v/>
      </c>
      <c r="AC7">
        <f>_xlfn.IFS(F7/E7&lt;1%,"A",F7/E7&lt;3%,"B",F7/E7&lt;5%,"C",TRUE,"D")</f>
        <v/>
      </c>
      <c r="AD7">
        <f>IF(AND(G7&gt;=49.95,G7&lt;=50.05),"합격","불합격")</f>
        <v/>
      </c>
      <c r="AE7">
        <f>MID(B7,5,2)</f>
        <v/>
      </c>
    </row>
    <row r="8">
      <c r="A8" s="18" t="n">
        <v>46084</v>
      </c>
      <c r="B8" s="19" t="inlineStr">
        <is>
          <t>L26-0303-C</t>
        </is>
      </c>
      <c r="C8" s="19" t="inlineStr">
        <is>
          <t>검사</t>
        </is>
      </c>
      <c r="D8" s="19" t="inlineStr">
        <is>
          <t>최민재</t>
        </is>
      </c>
      <c r="E8" s="20" t="n">
        <v>260</v>
      </c>
      <c r="F8" s="21" t="n">
        <v>2</v>
      </c>
      <c r="G8" s="22" t="n">
        <v>49.99</v>
      </c>
      <c r="H8" s="26" t="n"/>
      <c r="I8" s="27" t="n"/>
      <c r="J8" s="27" t="n"/>
      <c r="K8" s="27" t="n"/>
      <c r="N8" s="25" t="n">
        <v>0.05</v>
      </c>
      <c r="O8" s="19" t="inlineStr">
        <is>
          <t>D</t>
        </is>
      </c>
      <c r="AB8">
        <f>F8/E8</f>
        <v/>
      </c>
      <c r="AC8">
        <f>_xlfn.IFS(F8/E8&lt;1%,"A",F8/E8&lt;3%,"B",F8/E8&lt;5%,"C",TRUE,"D")</f>
        <v/>
      </c>
      <c r="AD8">
        <f>IF(AND(G8&gt;=49.95,G8&lt;=50.05),"합격","불합격")</f>
        <v/>
      </c>
      <c r="AE8">
        <f>MID(B8,5,2)</f>
        <v/>
      </c>
    </row>
    <row r="9">
      <c r="A9" s="18" t="n">
        <v>46085</v>
      </c>
      <c r="B9" s="19" t="inlineStr">
        <is>
          <t>L26-0304-A</t>
        </is>
      </c>
      <c r="C9" s="19" t="inlineStr">
        <is>
          <t>가공</t>
        </is>
      </c>
      <c r="D9" s="19" t="inlineStr">
        <is>
          <t>김현수</t>
        </is>
      </c>
      <c r="E9" s="20" t="n">
        <v>495</v>
      </c>
      <c r="F9" s="21" t="n">
        <v>7</v>
      </c>
      <c r="G9" s="22" t="n">
        <v>50.01</v>
      </c>
      <c r="H9" s="26" t="n"/>
      <c r="I9" s="27" t="n"/>
      <c r="J9" s="27" t="n"/>
      <c r="K9" s="27" t="n"/>
      <c r="N9" s="28" t="inlineStr">
        <is>
          <t>↑ VLOOKUP 근사값(TRUE) 연습용 (N5:O8)</t>
        </is>
      </c>
      <c r="AB9">
        <f>F9/E9</f>
        <v/>
      </c>
      <c r="AC9">
        <f>_xlfn.IFS(F9/E9&lt;1%,"A",F9/E9&lt;3%,"B",F9/E9&lt;5%,"C",TRUE,"D")</f>
        <v/>
      </c>
      <c r="AD9">
        <f>IF(AND(G9&gt;=49.95,G9&lt;=50.05),"합격","불합격")</f>
        <v/>
      </c>
      <c r="AE9">
        <f>MID(B9,5,2)</f>
        <v/>
      </c>
    </row>
    <row r="10">
      <c r="A10" s="18" t="n">
        <v>46085</v>
      </c>
      <c r="B10" s="19" t="inlineStr">
        <is>
          <t>L26-0304-B</t>
        </is>
      </c>
      <c r="C10" s="19" t="inlineStr">
        <is>
          <t>조립</t>
        </is>
      </c>
      <c r="D10" s="19" t="inlineStr">
        <is>
          <t>박지훈</t>
        </is>
      </c>
      <c r="E10" s="20" t="n">
        <v>340</v>
      </c>
      <c r="F10" s="21" t="n">
        <v>21</v>
      </c>
      <c r="G10" s="22" t="n">
        <v>49.91</v>
      </c>
      <c r="H10" s="26" t="n"/>
      <c r="I10" s="27" t="n"/>
      <c r="J10" s="27" t="n"/>
      <c r="K10" s="27" t="n"/>
      <c r="AB10">
        <f>F10/E10</f>
        <v/>
      </c>
      <c r="AC10">
        <f>_xlfn.IFS(F10/E10&lt;1%,"A",F10/E10&lt;3%,"B",F10/E10&lt;5%,"C",TRUE,"D")</f>
        <v/>
      </c>
      <c r="AD10">
        <f>IF(AND(G10&gt;=49.95,G10&lt;=50.05),"합격","불합격")</f>
        <v/>
      </c>
      <c r="AE10">
        <f>MID(B10,5,2)</f>
        <v/>
      </c>
    </row>
    <row r="11">
      <c r="A11" s="18" t="n">
        <v>46086</v>
      </c>
      <c r="B11" s="19" t="inlineStr">
        <is>
          <t>L26-0305-C</t>
        </is>
      </c>
      <c r="C11" s="19" t="inlineStr">
        <is>
          <t>포장</t>
        </is>
      </c>
      <c r="D11" s="19" t="inlineStr">
        <is>
          <t>정우진</t>
        </is>
      </c>
      <c r="E11" s="20" t="n">
        <v>600</v>
      </c>
      <c r="F11" s="21" t="n">
        <v>3</v>
      </c>
      <c r="G11" s="22" t="n">
        <v>50</v>
      </c>
      <c r="H11" s="26" t="n"/>
      <c r="I11" s="27" t="n"/>
      <c r="J11" s="27" t="n"/>
      <c r="K11" s="27" t="n"/>
      <c r="N11" s="29" t="inlineStr">
        <is>
          <t>규격 : 50.00 ± 0.05 mm</t>
        </is>
      </c>
      <c r="AB11">
        <f>F11/E11</f>
        <v/>
      </c>
      <c r="AC11">
        <f>_xlfn.IFS(F11/E11&lt;1%,"A",F11/E11&lt;3%,"B",F11/E11&lt;5%,"C",TRUE,"D")</f>
        <v/>
      </c>
      <c r="AD11">
        <f>IF(AND(G11&gt;=49.95,G11&lt;=50.05),"합격","불합격")</f>
        <v/>
      </c>
      <c r="AE11">
        <f>MID(B11,5,2)</f>
        <v/>
      </c>
    </row>
    <row r="12">
      <c r="A12" s="18" t="n">
        <v>46086</v>
      </c>
      <c r="B12" s="19" t="inlineStr">
        <is>
          <t>L26-0305-A</t>
        </is>
      </c>
      <c r="C12" s="19" t="inlineStr">
        <is>
          <t>가공</t>
        </is>
      </c>
      <c r="D12" s="19" t="inlineStr">
        <is>
          <t>이서연</t>
        </is>
      </c>
      <c r="E12" s="20" t="n">
        <v>470</v>
      </c>
      <c r="F12" s="21" t="n">
        <v>12</v>
      </c>
      <c r="G12" s="22" t="n">
        <v>50.05</v>
      </c>
      <c r="H12" s="26" t="n"/>
      <c r="I12" s="27" t="n"/>
      <c r="J12" s="27" t="n"/>
      <c r="K12" s="27" t="n"/>
      <c r="AB12">
        <f>F12/E12</f>
        <v/>
      </c>
      <c r="AC12">
        <f>_xlfn.IFS(F12/E12&lt;1%,"A",F12/E12&lt;3%,"B",F12/E12&lt;5%,"C",TRUE,"D")</f>
        <v/>
      </c>
      <c r="AD12">
        <f>IF(AND(G12&gt;=49.95,G12&lt;=50.05),"합격","불합격")</f>
        <v/>
      </c>
      <c r="AE12">
        <f>MID(B12,5,2)</f>
        <v/>
      </c>
    </row>
    <row r="13">
      <c r="A13" s="18" t="n">
        <v>46087</v>
      </c>
      <c r="B13" s="19" t="inlineStr">
        <is>
          <t>L26-0306-B</t>
        </is>
      </c>
      <c r="C13" s="19" t="inlineStr">
        <is>
          <t>조립</t>
        </is>
      </c>
      <c r="D13" s="19" t="inlineStr">
        <is>
          <t>김현수</t>
        </is>
      </c>
      <c r="E13" s="20" t="n">
        <v>355</v>
      </c>
      <c r="F13" s="21" t="n">
        <v>5</v>
      </c>
      <c r="G13" s="22" t="n">
        <v>49.96</v>
      </c>
      <c r="H13" s="26" t="n"/>
      <c r="I13" s="27" t="n"/>
      <c r="J13" s="27" t="n"/>
      <c r="K13" s="27" t="n"/>
      <c r="AB13">
        <f>F13/E13</f>
        <v/>
      </c>
      <c r="AC13">
        <f>_xlfn.IFS(F13/E13&lt;1%,"A",F13/E13&lt;3%,"B",F13/E13&lt;5%,"C",TRUE,"D")</f>
        <v/>
      </c>
      <c r="AD13">
        <f>IF(AND(G13&gt;=49.95,G13&lt;=50.05),"합격","불합격")</f>
        <v/>
      </c>
      <c r="AE13">
        <f>MID(B13,5,2)</f>
        <v/>
      </c>
    </row>
    <row r="14">
      <c r="A14" s="18" t="n">
        <v>46087</v>
      </c>
      <c r="B14" s="19" t="inlineStr">
        <is>
          <t>L26-0306-C</t>
        </is>
      </c>
      <c r="C14" s="19" t="inlineStr">
        <is>
          <t>검사</t>
        </is>
      </c>
      <c r="D14" s="19" t="inlineStr">
        <is>
          <t>최민재</t>
        </is>
      </c>
      <c r="E14" s="20" t="n">
        <v>280</v>
      </c>
      <c r="F14" s="21" t="n">
        <v>14</v>
      </c>
      <c r="G14" s="22" t="n">
        <v>50.09</v>
      </c>
      <c r="H14" s="26" t="n"/>
      <c r="I14" s="27" t="n"/>
      <c r="J14" s="27" t="n"/>
      <c r="K14" s="27" t="n"/>
      <c r="AB14">
        <f>F14/E14</f>
        <v/>
      </c>
      <c r="AC14">
        <f>_xlfn.IFS(F14/E14&lt;1%,"A",F14/E14&lt;3%,"B",F14/E14&lt;5%,"C",TRUE,"D")</f>
        <v/>
      </c>
      <c r="AD14">
        <f>IF(AND(G14&gt;=49.95,G14&lt;=50.05),"합격","불합격")</f>
        <v/>
      </c>
      <c r="AE14">
        <f>MID(B14,5,2)</f>
        <v/>
      </c>
    </row>
    <row r="15">
      <c r="A15" s="18" t="n">
        <v>46090</v>
      </c>
      <c r="B15" s="19" t="inlineStr">
        <is>
          <t>L26-0309-A</t>
        </is>
      </c>
      <c r="C15" s="19" t="inlineStr">
        <is>
          <t>가공</t>
        </is>
      </c>
      <c r="D15" s="19" t="inlineStr">
        <is>
          <t>박지훈</t>
        </is>
      </c>
      <c r="E15" s="20" t="n">
        <v>505</v>
      </c>
      <c r="F15" s="21" t="n">
        <v>6</v>
      </c>
      <c r="G15" s="22" t="n">
        <v>50.03</v>
      </c>
      <c r="H15" s="26" t="n"/>
      <c r="I15" s="27" t="n"/>
      <c r="J15" s="27" t="n"/>
      <c r="K15" s="27" t="n"/>
      <c r="AB15">
        <f>F15/E15</f>
        <v/>
      </c>
      <c r="AC15">
        <f>_xlfn.IFS(F15/E15&lt;1%,"A",F15/E15&lt;3%,"B",F15/E15&lt;5%,"C",TRUE,"D")</f>
        <v/>
      </c>
      <c r="AD15">
        <f>IF(AND(G15&gt;=49.95,G15&lt;=50.05),"합격","불합격")</f>
        <v/>
      </c>
      <c r="AE15">
        <f>MID(B15,5,2)</f>
        <v/>
      </c>
    </row>
    <row r="16">
      <c r="A16" s="18" t="n">
        <v>46090</v>
      </c>
      <c r="B16" s="19" t="inlineStr">
        <is>
          <t>L26-0309-B</t>
        </is>
      </c>
      <c r="C16" s="19" t="inlineStr">
        <is>
          <t>조립</t>
        </is>
      </c>
      <c r="D16" s="19" t="inlineStr">
        <is>
          <t>이서연</t>
        </is>
      </c>
      <c r="E16" s="20" t="n">
        <v>310</v>
      </c>
      <c r="F16" s="21" t="n">
        <v>18</v>
      </c>
      <c r="G16" s="22" t="n">
        <v>49.88</v>
      </c>
      <c r="H16" s="26" t="n"/>
      <c r="I16" s="27" t="n"/>
      <c r="J16" s="27" t="n"/>
      <c r="K16" s="27" t="n"/>
      <c r="AB16">
        <f>F16/E16</f>
        <v/>
      </c>
      <c r="AC16">
        <f>_xlfn.IFS(F16/E16&lt;1%,"A",F16/E16&lt;3%,"B",F16/E16&lt;5%,"C",TRUE,"D")</f>
        <v/>
      </c>
      <c r="AD16">
        <f>IF(AND(G16&gt;=49.95,G16&lt;=50.05),"합격","불합격")</f>
        <v/>
      </c>
      <c r="AE16">
        <f>MID(B16,5,2)</f>
        <v/>
      </c>
    </row>
    <row r="17">
      <c r="A17" s="18" t="n">
        <v>46091</v>
      </c>
      <c r="B17" s="19" t="inlineStr">
        <is>
          <t>L26-0310-C</t>
        </is>
      </c>
      <c r="C17" s="19" t="inlineStr">
        <is>
          <t>포장</t>
        </is>
      </c>
      <c r="D17" s="19" t="inlineStr">
        <is>
          <t>정우진</t>
        </is>
      </c>
      <c r="E17" s="20" t="n">
        <v>620</v>
      </c>
      <c r="F17" s="21" t="n">
        <v>8</v>
      </c>
      <c r="G17" s="22" t="n">
        <v>50.01</v>
      </c>
      <c r="H17" s="26" t="n"/>
      <c r="I17" s="27" t="n"/>
      <c r="J17" s="27" t="n"/>
      <c r="K17" s="27" t="n"/>
      <c r="AB17">
        <f>F17/E17</f>
        <v/>
      </c>
      <c r="AC17">
        <f>_xlfn.IFS(F17/E17&lt;1%,"A",F17/E17&lt;3%,"B",F17/E17&lt;5%,"C",TRUE,"D")</f>
        <v/>
      </c>
      <c r="AD17">
        <f>IF(AND(G17&gt;=49.95,G17&lt;=50.05),"합격","불합격")</f>
        <v/>
      </c>
      <c r="AE17">
        <f>MID(B17,5,2)</f>
        <v/>
      </c>
    </row>
    <row r="18">
      <c r="A18" s="18" t="n">
        <v>46091</v>
      </c>
      <c r="B18" s="19" t="inlineStr">
        <is>
          <t>L26-0310-A</t>
        </is>
      </c>
      <c r="C18" s="19" t="inlineStr">
        <is>
          <t>가공</t>
        </is>
      </c>
      <c r="D18" s="19" t="inlineStr">
        <is>
          <t>김현수</t>
        </is>
      </c>
      <c r="E18" s="20" t="n">
        <v>488</v>
      </c>
      <c r="F18" s="21" t="n">
        <v>25</v>
      </c>
      <c r="G18" s="22" t="n">
        <v>50.12</v>
      </c>
      <c r="H18" s="26" t="n"/>
      <c r="I18" s="27" t="n"/>
      <c r="J18" s="27" t="n"/>
      <c r="K18" s="27" t="n"/>
      <c r="AB18">
        <f>F18/E18</f>
        <v/>
      </c>
      <c r="AC18">
        <f>_xlfn.IFS(F18/E18&lt;1%,"A",F18/E18&lt;3%,"B",F18/E18&lt;5%,"C",TRUE,"D")</f>
        <v/>
      </c>
      <c r="AD18">
        <f>IF(AND(G18&gt;=49.95,G18&lt;=50.05),"합격","불합격")</f>
        <v/>
      </c>
      <c r="AE18">
        <f>MID(B18,5,2)</f>
        <v/>
      </c>
    </row>
    <row r="19">
      <c r="A19" s="18" t="n">
        <v>46092</v>
      </c>
      <c r="B19" s="19" t="inlineStr">
        <is>
          <t>L26-0311-B</t>
        </is>
      </c>
      <c r="C19" s="19" t="inlineStr">
        <is>
          <t>조립</t>
        </is>
      </c>
      <c r="D19" s="19" t="inlineStr">
        <is>
          <t>최민재</t>
        </is>
      </c>
      <c r="E19" s="20" t="n">
        <v>330</v>
      </c>
      <c r="F19" s="21" t="n">
        <v>11</v>
      </c>
      <c r="G19" s="22" t="n">
        <v>49.94</v>
      </c>
      <c r="H19" s="26" t="n"/>
      <c r="I19" s="27" t="n"/>
      <c r="J19" s="27" t="n"/>
      <c r="K19" s="27" t="n"/>
      <c r="AB19">
        <f>F19/E19</f>
        <v/>
      </c>
      <c r="AC19">
        <f>_xlfn.IFS(F19/E19&lt;1%,"A",F19/E19&lt;3%,"B",F19/E19&lt;5%,"C",TRUE,"D")</f>
        <v/>
      </c>
      <c r="AD19">
        <f>IF(AND(G19&gt;=49.95,G19&lt;=50.05),"합격","불합격")</f>
        <v/>
      </c>
      <c r="AE19">
        <f>MID(B19,5,2)</f>
        <v/>
      </c>
    </row>
    <row r="20">
      <c r="A20" s="18" t="n">
        <v>46092</v>
      </c>
      <c r="B20" s="19" t="inlineStr">
        <is>
          <t>L26-0311-C</t>
        </is>
      </c>
      <c r="C20" s="19" t="inlineStr">
        <is>
          <t>검사</t>
        </is>
      </c>
      <c r="D20" s="19" t="inlineStr">
        <is>
          <t>박지훈</t>
        </is>
      </c>
      <c r="E20" s="20" t="n">
        <v>275</v>
      </c>
      <c r="F20" s="21" t="n">
        <v>1</v>
      </c>
      <c r="G20" s="22" t="n">
        <v>50</v>
      </c>
      <c r="H20" s="26" t="n"/>
      <c r="I20" s="27" t="n"/>
      <c r="J20" s="27" t="n"/>
      <c r="K20" s="27" t="n"/>
      <c r="AB20">
        <f>F20/E20</f>
        <v/>
      </c>
      <c r="AC20">
        <f>_xlfn.IFS(F20/E20&lt;1%,"A",F20/E20&lt;3%,"B",F20/E20&lt;5%,"C",TRUE,"D")</f>
        <v/>
      </c>
      <c r="AD20">
        <f>IF(AND(G20&gt;=49.95,G20&lt;=50.05),"합격","불합격")</f>
        <v/>
      </c>
      <c r="AE20">
        <f>MID(B20,5,2)</f>
        <v/>
      </c>
    </row>
    <row r="21">
      <c r="A21" s="18" t="n">
        <v>46093</v>
      </c>
      <c r="B21" s="19" t="inlineStr">
        <is>
          <t>L26-0312-A</t>
        </is>
      </c>
      <c r="C21" s="19" t="inlineStr">
        <is>
          <t>가공</t>
        </is>
      </c>
      <c r="D21" s="19" t="inlineStr">
        <is>
          <t>이서연</t>
        </is>
      </c>
      <c r="E21" s="20" t="n">
        <v>512</v>
      </c>
      <c r="F21" s="21" t="n">
        <v>19</v>
      </c>
      <c r="G21" s="22" t="n">
        <v>50.06</v>
      </c>
      <c r="H21" s="26" t="n"/>
      <c r="I21" s="27" t="n"/>
      <c r="J21" s="27" t="n"/>
      <c r="K21" s="27" t="n"/>
      <c r="AB21">
        <f>F21/E21</f>
        <v/>
      </c>
      <c r="AC21">
        <f>_xlfn.IFS(F21/E21&lt;1%,"A",F21/E21&lt;3%,"B",F21/E21&lt;5%,"C",TRUE,"D")</f>
        <v/>
      </c>
      <c r="AD21">
        <f>IF(AND(G21&gt;=49.95,G21&lt;=50.05),"합격","불합격")</f>
        <v/>
      </c>
      <c r="AE21">
        <f>MID(B21,5,2)</f>
        <v/>
      </c>
    </row>
    <row r="22">
      <c r="A22" s="18" t="n">
        <v>46093</v>
      </c>
      <c r="B22" s="19" t="inlineStr">
        <is>
          <t>L26-0312-B</t>
        </is>
      </c>
      <c r="C22" s="19" t="inlineStr">
        <is>
          <t>조립</t>
        </is>
      </c>
      <c r="D22" s="19" t="inlineStr">
        <is>
          <t>김현수</t>
        </is>
      </c>
      <c r="E22" s="20" t="n">
        <v>345</v>
      </c>
      <c r="F22" s="21" t="n">
        <v>7</v>
      </c>
      <c r="G22" s="22" t="n">
        <v>49.98</v>
      </c>
      <c r="H22" s="26" t="n"/>
      <c r="I22" s="27" t="n"/>
      <c r="J22" s="27" t="n"/>
      <c r="K22" s="27" t="n"/>
      <c r="AB22">
        <f>F22/E22</f>
        <v/>
      </c>
      <c r="AC22">
        <f>_xlfn.IFS(F22/E22&lt;1%,"A",F22/E22&lt;3%,"B",F22/E22&lt;5%,"C",TRUE,"D")</f>
        <v/>
      </c>
      <c r="AD22">
        <f>IF(AND(G22&gt;=49.95,G22&lt;=50.05),"합격","불합격")</f>
        <v/>
      </c>
      <c r="AE22">
        <f>MID(B22,5,2)</f>
        <v/>
      </c>
    </row>
    <row r="23">
      <c r="A23" s="18" t="n">
        <v>46094</v>
      </c>
      <c r="B23" s="19" t="inlineStr">
        <is>
          <t>L26-0313-C</t>
        </is>
      </c>
      <c r="C23" s="19" t="inlineStr">
        <is>
          <t>포장</t>
        </is>
      </c>
      <c r="D23" s="19" t="inlineStr">
        <is>
          <t>정우진</t>
        </is>
      </c>
      <c r="E23" s="20" t="n">
        <v>590</v>
      </c>
      <c r="F23" s="21" t="n">
        <v>13</v>
      </c>
      <c r="G23" s="22" t="n">
        <v>50.04</v>
      </c>
      <c r="H23" s="26" t="n"/>
      <c r="I23" s="27" t="n"/>
      <c r="J23" s="27" t="n"/>
      <c r="K23" s="27" t="n"/>
      <c r="AB23">
        <f>F23/E23</f>
        <v/>
      </c>
      <c r="AC23">
        <f>_xlfn.IFS(F23/E23&lt;1%,"A",F23/E23&lt;3%,"B",F23/E23&lt;5%,"C",TRUE,"D")</f>
        <v/>
      </c>
      <c r="AD23">
        <f>IF(AND(G23&gt;=49.95,G23&lt;=50.05),"합격","불합격")</f>
        <v/>
      </c>
      <c r="AE23">
        <f>MID(B23,5,2)</f>
        <v/>
      </c>
    </row>
    <row r="24">
      <c r="A24" s="18" t="n">
        <v>46094</v>
      </c>
      <c r="B24" s="19" t="inlineStr">
        <is>
          <t>L26-0313-A</t>
        </is>
      </c>
      <c r="C24" s="19" t="inlineStr">
        <is>
          <t>가공</t>
        </is>
      </c>
      <c r="D24" s="19" t="inlineStr">
        <is>
          <t>최민재</t>
        </is>
      </c>
      <c r="E24" s="20" t="n">
        <v>500</v>
      </c>
      <c r="F24" s="21" t="n">
        <v>10</v>
      </c>
      <c r="G24" s="22" t="n">
        <v>49.95</v>
      </c>
      <c r="H24" s="26" t="n"/>
      <c r="I24" s="27" t="n"/>
      <c r="J24" s="27" t="n"/>
      <c r="K24" s="27" t="n"/>
      <c r="AB24">
        <f>F24/E24</f>
        <v/>
      </c>
      <c r="AC24">
        <f>_xlfn.IFS(F24/E24&lt;1%,"A",F24/E24&lt;3%,"B",F24/E24&lt;5%,"C",TRUE,"D")</f>
        <v/>
      </c>
      <c r="AD24">
        <f>IF(AND(G24&gt;=49.95,G24&lt;=50.05),"합격","불합격")</f>
        <v/>
      </c>
      <c r="AE24">
        <f>MID(B24,5,2)</f>
        <v/>
      </c>
    </row>
    <row r="25">
      <c r="A25" s="18" t="n">
        <v>46097</v>
      </c>
      <c r="B25" s="19" t="inlineStr">
        <is>
          <t>L26-0316-B</t>
        </is>
      </c>
      <c r="C25" s="19" t="inlineStr">
        <is>
          <t>조립</t>
        </is>
      </c>
      <c r="D25" s="19" t="inlineStr">
        <is>
          <t>김현수</t>
        </is>
      </c>
      <c r="E25" s="20" t="n">
        <v>362</v>
      </c>
      <c r="F25" s="21" t="n">
        <v>15</v>
      </c>
      <c r="G25" s="22" t="n">
        <v>49.93</v>
      </c>
      <c r="H25" s="26" t="n"/>
      <c r="I25" s="27" t="n"/>
      <c r="J25" s="27" t="n"/>
      <c r="K25" s="27" t="n"/>
      <c r="AB25">
        <f>F25/E25</f>
        <v/>
      </c>
      <c r="AC25">
        <f>_xlfn.IFS(F25/E25&lt;1%,"A",F25/E25&lt;3%,"B",F25/E25&lt;5%,"C",TRUE,"D")</f>
        <v/>
      </c>
      <c r="AD25">
        <f>IF(AND(G25&gt;=49.95,G25&lt;=50.05),"합격","불합격")</f>
        <v/>
      </c>
      <c r="AE25">
        <f>MID(B25,5,2)</f>
        <v/>
      </c>
    </row>
    <row r="26">
      <c r="A26" s="18" t="n">
        <v>46097</v>
      </c>
      <c r="B26" s="19" t="inlineStr">
        <is>
          <t>L26-0316-C</t>
        </is>
      </c>
      <c r="C26" s="19" t="inlineStr">
        <is>
          <t>검사</t>
        </is>
      </c>
      <c r="D26" s="19" t="inlineStr">
        <is>
          <t>이서연</t>
        </is>
      </c>
      <c r="E26" s="20" t="n">
        <v>295</v>
      </c>
      <c r="F26" s="21" t="n">
        <v>6</v>
      </c>
      <c r="G26" s="22" t="n">
        <v>50.07</v>
      </c>
      <c r="H26" s="26" t="n"/>
      <c r="I26" s="27" t="n"/>
      <c r="J26" s="27" t="n"/>
      <c r="K26" s="27" t="n"/>
      <c r="AB26">
        <f>F26/E26</f>
        <v/>
      </c>
      <c r="AC26">
        <f>_xlfn.IFS(F26/E26&lt;1%,"A",F26/E26&lt;3%,"B",F26/E26&lt;5%,"C",TRUE,"D")</f>
        <v/>
      </c>
      <c r="AD26">
        <f>IF(AND(G26&gt;=49.95,G26&lt;=50.05),"합격","불합격")</f>
        <v/>
      </c>
      <c r="AE26">
        <f>MID(B26,5,2)</f>
        <v/>
      </c>
    </row>
    <row r="27">
      <c r="A27" s="18" t="n">
        <v>46098</v>
      </c>
      <c r="B27" s="19" t="inlineStr">
        <is>
          <t>L26-0317-A</t>
        </is>
      </c>
      <c r="C27" s="19" t="inlineStr">
        <is>
          <t>가공</t>
        </is>
      </c>
      <c r="D27" s="19" t="inlineStr">
        <is>
          <t>박지훈</t>
        </is>
      </c>
      <c r="E27" s="20" t="n">
        <v>522</v>
      </c>
      <c r="F27" s="21" t="n">
        <v>23</v>
      </c>
      <c r="G27" s="22" t="n">
        <v>50.11</v>
      </c>
      <c r="H27" s="26" t="n"/>
      <c r="I27" s="27" t="n"/>
      <c r="J27" s="27" t="n"/>
      <c r="K27" s="27" t="n"/>
      <c r="AB27">
        <f>F27/E27</f>
        <v/>
      </c>
      <c r="AC27">
        <f>_xlfn.IFS(F27/E27&lt;1%,"A",F27/E27&lt;3%,"B",F27/E27&lt;5%,"C",TRUE,"D")</f>
        <v/>
      </c>
      <c r="AD27">
        <f>IF(AND(G27&gt;=49.95,G27&lt;=50.05),"합격","불합격")</f>
        <v/>
      </c>
      <c r="AE27">
        <f>MID(B27,5,2)</f>
        <v/>
      </c>
    </row>
    <row r="28">
      <c r="A28" s="18" t="n">
        <v>46098</v>
      </c>
      <c r="B28" s="19" t="inlineStr">
        <is>
          <t>L26-0317-C</t>
        </is>
      </c>
      <c r="C28" s="19" t="inlineStr">
        <is>
          <t>포장</t>
        </is>
      </c>
      <c r="D28" s="19" t="inlineStr">
        <is>
          <t>정우진</t>
        </is>
      </c>
      <c r="E28" s="20" t="n">
        <v>575</v>
      </c>
      <c r="F28" s="21" t="n">
        <v>5</v>
      </c>
      <c r="G28" s="22" t="n">
        <v>49.99</v>
      </c>
      <c r="H28" s="26" t="n"/>
      <c r="I28" s="27" t="n"/>
      <c r="J28" s="27" t="n"/>
      <c r="K28" s="27" t="n"/>
      <c r="AB28">
        <f>F28/E28</f>
        <v/>
      </c>
      <c r="AC28">
        <f>_xlfn.IFS(F28/E28&lt;1%,"A",F28/E28&lt;3%,"B",F28/E28&lt;5%,"C",TRUE,"D")</f>
        <v/>
      </c>
      <c r="AD28">
        <f>IF(AND(G28&gt;=49.95,G28&lt;=50.05),"합격","불합격")</f>
        <v/>
      </c>
      <c r="AE28">
        <f>MID(B28,5,2)</f>
        <v/>
      </c>
    </row>
    <row r="29">
      <c r="A29" s="18" t="n">
        <v>46099</v>
      </c>
      <c r="B29" s="19" t="inlineStr">
        <is>
          <t>L26-0318-B</t>
        </is>
      </c>
      <c r="C29" s="19" t="inlineStr">
        <is>
          <t>조립</t>
        </is>
      </c>
      <c r="D29" s="19" t="inlineStr">
        <is>
          <t>최민재</t>
        </is>
      </c>
      <c r="E29" s="20" t="n">
        <v>338</v>
      </c>
      <c r="F29" s="21" t="n">
        <v>8</v>
      </c>
      <c r="G29" s="22" t="n">
        <v>50.02</v>
      </c>
      <c r="H29" s="26" t="n"/>
      <c r="I29" s="27" t="n"/>
      <c r="J29" s="27" t="n"/>
      <c r="K29" s="27" t="n"/>
      <c r="AB29">
        <f>F29/E29</f>
        <v/>
      </c>
      <c r="AC29">
        <f>_xlfn.IFS(F29/E29&lt;1%,"A",F29/E29&lt;3%,"B",F29/E29&lt;5%,"C",TRUE,"D")</f>
        <v/>
      </c>
      <c r="AD29">
        <f>IF(AND(G29&gt;=49.95,G29&lt;=50.05),"합격","불합격")</f>
        <v/>
      </c>
      <c r="AE29">
        <f>MID(B29,5,2)</f>
        <v/>
      </c>
    </row>
    <row r="30">
      <c r="A30" s="18" t="n">
        <v>46099</v>
      </c>
      <c r="B30" s="19" t="inlineStr">
        <is>
          <t>L26-0318-A</t>
        </is>
      </c>
      <c r="C30" s="19" t="inlineStr">
        <is>
          <t>가공</t>
        </is>
      </c>
      <c r="D30" s="19" t="inlineStr">
        <is>
          <t>김현수</t>
        </is>
      </c>
      <c r="E30" s="20" t="n">
        <v>498</v>
      </c>
      <c r="F30" s="21" t="n">
        <v>14</v>
      </c>
      <c r="G30" s="22" t="n">
        <v>49.9</v>
      </c>
      <c r="H30" s="26" t="n"/>
      <c r="I30" s="27" t="n"/>
      <c r="J30" s="27" t="n"/>
      <c r="K30" s="27" t="n"/>
      <c r="AB30">
        <f>F30/E30</f>
        <v/>
      </c>
      <c r="AC30">
        <f>_xlfn.IFS(F30/E30&lt;1%,"A",F30/E30&lt;3%,"B",F30/E30&lt;5%,"C",TRUE,"D")</f>
        <v/>
      </c>
      <c r="AD30">
        <f>IF(AND(G30&gt;=49.95,G30&lt;=50.05),"합격","불합격")</f>
        <v/>
      </c>
      <c r="AE30">
        <f>MID(B30,5,2)</f>
        <v/>
      </c>
    </row>
    <row r="31">
      <c r="A31" s="18" t="n">
        <v>46100</v>
      </c>
      <c r="B31" s="19" t="inlineStr">
        <is>
          <t>L26-0319-C</t>
        </is>
      </c>
      <c r="C31" s="19" t="inlineStr">
        <is>
          <t>검사</t>
        </is>
      </c>
      <c r="D31" s="19" t="inlineStr">
        <is>
          <t>이서연</t>
        </is>
      </c>
      <c r="E31" s="20" t="n">
        <v>268</v>
      </c>
      <c r="F31" s="21" t="n">
        <v>3</v>
      </c>
      <c r="G31" s="22" t="n">
        <v>50.03</v>
      </c>
      <c r="H31" s="26" t="n"/>
      <c r="I31" s="27" t="n"/>
      <c r="J31" s="27" t="n"/>
      <c r="K31" s="27" t="n"/>
      <c r="AB31">
        <f>F31/E31</f>
        <v/>
      </c>
      <c r="AC31">
        <f>_xlfn.IFS(F31/E31&lt;1%,"A",F31/E31&lt;3%,"B",F31/E31&lt;5%,"C",TRUE,"D")</f>
        <v/>
      </c>
      <c r="AD31">
        <f>IF(AND(G31&gt;=49.95,G31&lt;=50.05),"합격","불합격")</f>
        <v/>
      </c>
      <c r="AE31">
        <f>MID(B31,5,2)</f>
        <v/>
      </c>
    </row>
    <row r="32">
      <c r="A32" s="18" t="n">
        <v>46100</v>
      </c>
      <c r="B32" s="19" t="inlineStr">
        <is>
          <t>L26-0319-B</t>
        </is>
      </c>
      <c r="C32" s="19" t="inlineStr">
        <is>
          <t>조립</t>
        </is>
      </c>
      <c r="D32" s="19" t="inlineStr">
        <is>
          <t>박지훈</t>
        </is>
      </c>
      <c r="E32" s="20" t="n">
        <v>351</v>
      </c>
      <c r="F32" s="21" t="n">
        <v>20</v>
      </c>
      <c r="G32" s="22" t="n">
        <v>49.87</v>
      </c>
      <c r="H32" s="26" t="n"/>
      <c r="I32" s="27" t="n"/>
      <c r="J32" s="27" t="n"/>
      <c r="K32" s="27" t="n"/>
      <c r="AB32">
        <f>F32/E32</f>
        <v/>
      </c>
      <c r="AC32">
        <f>_xlfn.IFS(F32/E32&lt;1%,"A",F32/E32&lt;3%,"B",F32/E32&lt;5%,"C",TRUE,"D")</f>
        <v/>
      </c>
      <c r="AD32">
        <f>IF(AND(G32&gt;=49.95,G32&lt;=50.05),"합격","불합격")</f>
        <v/>
      </c>
      <c r="AE32">
        <f>MID(B32,5,2)</f>
        <v/>
      </c>
    </row>
    <row r="33">
      <c r="A33" s="18" t="n">
        <v>46101</v>
      </c>
      <c r="B33" s="19" t="inlineStr">
        <is>
          <t>L26-0320-A</t>
        </is>
      </c>
      <c r="C33" s="19" t="inlineStr">
        <is>
          <t>가공</t>
        </is>
      </c>
      <c r="D33" s="19" t="inlineStr">
        <is>
          <t>정우진</t>
        </is>
      </c>
      <c r="E33" s="20" t="n">
        <v>515</v>
      </c>
      <c r="F33" s="21" t="n">
        <v>9</v>
      </c>
      <c r="G33" s="22" t="n">
        <v>50.04</v>
      </c>
      <c r="H33" s="26" t="n"/>
      <c r="I33" s="27" t="n"/>
      <c r="J33" s="27" t="n"/>
      <c r="K33" s="27" t="n"/>
      <c r="AB33">
        <f>F33/E33</f>
        <v/>
      </c>
      <c r="AC33">
        <f>_xlfn.IFS(F33/E33&lt;1%,"A",F33/E33&lt;3%,"B",F33/E33&lt;5%,"C",TRUE,"D")</f>
        <v/>
      </c>
      <c r="AD33">
        <f>IF(AND(G33&gt;=49.95,G33&lt;=50.05),"합격","불합격")</f>
        <v/>
      </c>
      <c r="AE33">
        <f>MID(B33,5,2)</f>
        <v/>
      </c>
    </row>
    <row r="34">
      <c r="A34" s="18" t="n">
        <v>46101</v>
      </c>
      <c r="B34" s="19" t="inlineStr">
        <is>
          <t>L26-0320-C</t>
        </is>
      </c>
      <c r="C34" s="19" t="inlineStr">
        <is>
          <t>포장</t>
        </is>
      </c>
      <c r="D34" s="19" t="inlineStr">
        <is>
          <t>최민재</t>
        </is>
      </c>
      <c r="E34" s="20" t="n">
        <v>608</v>
      </c>
      <c r="F34" s="21" t="n">
        <v>17</v>
      </c>
      <c r="G34" s="22" t="n">
        <v>50.1</v>
      </c>
      <c r="H34" s="26" t="n"/>
      <c r="I34" s="27" t="n"/>
      <c r="J34" s="27" t="n"/>
      <c r="K34" s="27" t="n"/>
      <c r="AB34">
        <f>F34/E34</f>
        <v/>
      </c>
      <c r="AC34">
        <f>_xlfn.IFS(F34/E34&lt;1%,"A",F34/E34&lt;3%,"B",F34/E34&lt;5%,"C",TRUE,"D")</f>
        <v/>
      </c>
      <c r="AD34">
        <f>IF(AND(G34&gt;=49.95,G34&lt;=50.05),"합격","불합격")</f>
        <v/>
      </c>
      <c r="AE34">
        <f>MID(B34,5,2)</f>
        <v/>
      </c>
    </row>
    <row r="36">
      <c r="A36" s="30" t="inlineStr">
        <is>
          <t>표 채점 →</t>
        </is>
      </c>
      <c r="H36" s="31">
        <f>SUMPRODUCT(--(ROUND($H$5:$H$34,4)=ROUND($AB$5:$AB$34,4)))&amp;" / 30"</f>
        <v/>
      </c>
      <c r="I36" s="31">
        <f>SUMPRODUCT(--($I$5:$I$34=$AC$5:$AC$34))&amp;" / 30"</f>
        <v/>
      </c>
      <c r="J36" s="31">
        <f>SUMPRODUCT(--($J$5:$J$34=$AD$5:$AD$34))&amp;" / 30"</f>
        <v/>
      </c>
      <c r="K36" s="31">
        <f>SUMPRODUCT(--($K$5:$K$34=$AE$5:$AE$34))&amp;" / 30"</f>
        <v/>
      </c>
    </row>
    <row r="37" ht="30" customHeight="1">
      <c r="A37" s="6" t="inlineStr">
        <is>
          <t>표 채점 — 노란 열마다 '맞은 칸 수 / 30' 으로 나옵니다. H5 에 수식을 만들고 H34 까지 끌어 내리면 30 / 30 이 됩니다.</t>
        </is>
      </c>
    </row>
    <row r="39" ht="26" customHeight="1">
      <c r="A39" s="5" t="inlineStr">
        <is>
          <t>■ 집계 문제 34개 — 번호 옆 ▶ 표시된 칸(F열)에 수식을 넣으세요</t>
        </is>
      </c>
    </row>
    <row r="40" ht="26" customHeight="1">
      <c r="A40" s="16" t="inlineStr">
        <is>
          <t>번호 ▶ 넣을 칸</t>
        </is>
      </c>
      <c r="B40" s="16" t="inlineStr">
        <is>
          <t>문제 — 무엇을 구하나</t>
        </is>
      </c>
      <c r="C40" s="32" t="n"/>
      <c r="D40" s="32" t="n"/>
      <c r="E40" s="33" t="n"/>
      <c r="F40" s="16" t="inlineStr">
        <is>
          <t>답</t>
        </is>
      </c>
      <c r="G40" s="16" t="inlineStr">
        <is>
          <t>채점</t>
        </is>
      </c>
      <c r="H40" s="16" t="inlineStr">
        <is>
          <t>힌트 — 쓰는 함수</t>
        </is>
      </c>
      <c r="I40" s="32" t="n"/>
      <c r="J40" s="32" t="n"/>
      <c r="K40" s="33" t="n"/>
    </row>
    <row r="41" ht="21" customHeight="1">
      <c r="A41" s="34" t="inlineStr">
        <is>
          <t xml:space="preserve">  배열 수식 ① — 조건을 곱해서 한 번에 계산 (Ctrl+Shift+Enter 로 마칩니다)</t>
        </is>
      </c>
    </row>
    <row r="42" ht="26" customHeight="1">
      <c r="A42" s="35" t="inlineStr">
        <is>
          <t>1  ▶F42</t>
        </is>
      </c>
      <c r="B42" s="11" t="inlineStr">
        <is>
          <t>'가공' 공정[C5:C34] 의 불량수[F5:F34] 합계를 배열 수식으로.</t>
        </is>
      </c>
      <c r="C42" s="36" t="n"/>
      <c r="D42" s="36" t="n"/>
      <c r="E42" s="36" t="n"/>
      <c r="F42" s="24" t="n">
        <v>0</v>
      </c>
      <c r="G42" s="37">
        <f>IF(NOT(_xlfn.ISFORMULA(F42)),"↖ 0 지우고 수식",IF(IFERROR(ROUND(F42,4)=ROUND(AB42,4),F42=AB42),"✔ 맞음","✘ 다시"))</f>
        <v/>
      </c>
      <c r="H42" s="12" t="inlineStr">
        <is>
          <t>SUM((조건)*범위) · 조건이 맞는 줄만 1 이 됩니다</t>
        </is>
      </c>
      <c r="I42" s="36" t="n"/>
      <c r="J42" s="36" t="n"/>
      <c r="K42" s="36" t="n"/>
      <c r="AB42">
        <f>SUMPRODUCT((C5:C34="가공")*F5:F34)</f>
        <v/>
      </c>
    </row>
    <row r="43" ht="26" customHeight="1">
      <c r="A43" s="35" t="inlineStr">
        <is>
          <t>2  ▶F43</t>
        </is>
      </c>
      <c r="B43" s="11" t="inlineStr">
        <is>
          <t>'가공' 이면서 불량수가 10 이상인 건수를 배열 수식으로.</t>
        </is>
      </c>
      <c r="C43" s="36" t="n"/>
      <c r="D43" s="36" t="n"/>
      <c r="E43" s="36" t="n"/>
      <c r="F43" s="24" t="n">
        <v>0</v>
      </c>
      <c r="G43" s="37">
        <f>IF(NOT(_xlfn.ISFORMULA(F43)),"↖ 0 지우고 수식",IF(IFERROR(ROUND(F43,4)=ROUND(AB43,4),F43=AB43),"✔ 맞음","✘ 다시"))</f>
        <v/>
      </c>
      <c r="H43" s="12" t="inlineStr">
        <is>
          <t>조건 두 개를 곱하면 '그리고'</t>
        </is>
      </c>
      <c r="I43" s="36" t="n"/>
      <c r="J43" s="36" t="n"/>
      <c r="K43" s="36" t="n"/>
      <c r="AB43">
        <f>SUMPRODUCT((C5:C34="가공")*(F5:F34&gt;=10))</f>
        <v/>
      </c>
    </row>
    <row r="44" ht="26" customHeight="1">
      <c r="A44" s="35" t="inlineStr">
        <is>
          <t>3  ▶F44</t>
        </is>
      </c>
      <c r="B44" s="11" t="inlineStr">
        <is>
          <t>'조립' 또는 '검사' 인 건수를 배열 수식으로.</t>
        </is>
      </c>
      <c r="C44" s="36" t="n"/>
      <c r="D44" s="36" t="n"/>
      <c r="E44" s="36" t="n"/>
      <c r="F44" s="24" t="n">
        <v>0</v>
      </c>
      <c r="G44" s="37">
        <f>IF(NOT(_xlfn.ISFORMULA(F44)),"↖ 0 지우고 수식",IF(IFERROR(ROUND(F44,4)=ROUND(AB44,4),F44=AB44),"✔ 맞음","✘ 다시"))</f>
        <v/>
      </c>
      <c r="H44" s="12" t="inlineStr">
        <is>
          <t>조건 두 개를 더하면 '또는'</t>
        </is>
      </c>
      <c r="I44" s="36" t="n"/>
      <c r="J44" s="36" t="n"/>
      <c r="K44" s="36" t="n"/>
      <c r="AB44">
        <f>SUMPRODUCT((C5:C34="조립")+(C5:C34="검사"))</f>
        <v/>
      </c>
    </row>
    <row r="45" ht="26" customHeight="1">
      <c r="A45" s="35" t="inlineStr">
        <is>
          <t>4  ▶F45</t>
        </is>
      </c>
      <c r="B45" s="11" t="inlineStr">
        <is>
          <t>'조립' 공정의 검사수량[E5:E34] 평균을 배열 수식으로.</t>
        </is>
      </c>
      <c r="C45" s="36" t="n"/>
      <c r="D45" s="36" t="n"/>
      <c r="E45" s="36" t="n"/>
      <c r="F45" s="24" t="n">
        <v>0</v>
      </c>
      <c r="G45" s="37">
        <f>IF(NOT(_xlfn.ISFORMULA(F45)),"↖ 0 지우고 수식",IF(IFERROR(ROUND(F45,4)=ROUND(AB45,4),F45=AB45),"✔ 맞음","✘ 다시"))</f>
        <v/>
      </c>
      <c r="H45" s="12" t="inlineStr">
        <is>
          <t>AVERAGE(IF(조건, 범위))</t>
        </is>
      </c>
      <c r="I45" s="36" t="n"/>
      <c r="J45" s="36" t="n"/>
      <c r="K45" s="36" t="n"/>
      <c r="AB45">
        <f>AVERAGEIF(C5:C34,"조립",E5:E34)</f>
        <v/>
      </c>
    </row>
    <row r="46" ht="26" customHeight="1">
      <c r="A46" s="35" t="inlineStr">
        <is>
          <t>5  ▶F46</t>
        </is>
      </c>
      <c r="B46" s="11" t="inlineStr">
        <is>
          <t>작업자 '김현수'[D5:D34] 의 최대 불량수를 배열 수식으로.</t>
        </is>
      </c>
      <c r="C46" s="36" t="n"/>
      <c r="D46" s="36" t="n"/>
      <c r="E46" s="36" t="n"/>
      <c r="F46" s="24" t="n">
        <v>0</v>
      </c>
      <c r="G46" s="37">
        <f>IF(NOT(_xlfn.ISFORMULA(F46)),"↖ 0 지우고 수식",IF(IFERROR(ROUND(F46,4)=ROUND(AB46,4),F46=AB46),"✔ 맞음","✘ 다시"))</f>
        <v/>
      </c>
      <c r="H46" s="12" t="inlineStr">
        <is>
          <t>MAX(IF(조건, 범위))</t>
        </is>
      </c>
      <c r="I46" s="36" t="n"/>
      <c r="J46" s="36" t="n"/>
      <c r="K46" s="36" t="n"/>
      <c r="AB46">
        <f>SUMPRODUCT(MAX((D5:D34="김현수")*F5:F34))</f>
        <v/>
      </c>
    </row>
    <row r="47" ht="21" customHeight="1">
      <c r="A47" s="34" t="inlineStr">
        <is>
          <t xml:space="preserve">  배열 수식 ② — SUMPRODUCT (Ctrl+Shift+Enter 없이도 됩니다)</t>
        </is>
      </c>
    </row>
    <row r="48" ht="26" customHeight="1">
      <c r="A48" s="35" t="inlineStr">
        <is>
          <t>6  ▶F48</t>
        </is>
      </c>
      <c r="B48" s="11" t="inlineStr">
        <is>
          <t>'조립' 이면서 작업자가 '박지훈' 인 줄의 검사수량 합계.</t>
        </is>
      </c>
      <c r="C48" s="36" t="n"/>
      <c r="D48" s="36" t="n"/>
      <c r="E48" s="36" t="n"/>
      <c r="F48" s="24" t="n">
        <v>0</v>
      </c>
      <c r="G48" s="37">
        <f>IF(NOT(_xlfn.ISFORMULA(F48)),"↖ 0 지우고 수식",IF(IFERROR(ROUND(F48,4)=ROUND(AB48,4),F48=AB48),"✔ 맞음","✘ 다시"))</f>
        <v/>
      </c>
      <c r="H48" s="12" t="inlineStr">
        <is>
          <t>SUMPRODUCT((조건)*(조건)*범위)</t>
        </is>
      </c>
      <c r="I48" s="36" t="n"/>
      <c r="J48" s="36" t="n"/>
      <c r="K48" s="36" t="n"/>
      <c r="AB48">
        <f>SUMPRODUCT((C5:C34="조립")*(D5:D34="박지훈")*E5:E34)</f>
        <v/>
      </c>
    </row>
    <row r="49" ht="26" customHeight="1">
      <c r="A49" s="35" t="inlineStr">
        <is>
          <t>7  ▶F49</t>
        </is>
      </c>
      <c r="B49" s="11" t="inlineStr">
        <is>
          <t>검사수량이 400 이상이면서 불량수가 15 이상인 건수.</t>
        </is>
      </c>
      <c r="C49" s="36" t="n"/>
      <c r="D49" s="36" t="n"/>
      <c r="E49" s="36" t="n"/>
      <c r="F49" s="24" t="n">
        <v>0</v>
      </c>
      <c r="G49" s="37">
        <f>IF(NOT(_xlfn.ISFORMULA(F49)),"↖ 0 지우고 수식",IF(IFERROR(ROUND(F49,4)=ROUND(AB49,4),F49=AB49),"✔ 맞음","✘ 다시"))</f>
        <v/>
      </c>
      <c r="H49" s="12" t="inlineStr">
        <is>
          <t>SUMPRODUCT((조건)*(조건))</t>
        </is>
      </c>
      <c r="I49" s="36" t="n"/>
      <c r="J49" s="36" t="n"/>
      <c r="K49" s="36" t="n"/>
      <c r="AB49">
        <f>SUMPRODUCT((E5:E34&gt;=400)*(F5:F34&gt;=15))</f>
        <v/>
      </c>
    </row>
    <row r="50" ht="26" customHeight="1">
      <c r="A50" s="35" t="inlineStr">
        <is>
          <t>8  ▶F50</t>
        </is>
      </c>
      <c r="B50" s="11" t="inlineStr">
        <is>
          <t>공정별 불량률을 따지려고, 전체 불량수 합계를 전체 검사수량 합계로 나눈 값.</t>
        </is>
      </c>
      <c r="C50" s="36" t="n"/>
      <c r="D50" s="36" t="n"/>
      <c r="E50" s="36" t="n"/>
      <c r="F50" s="23" t="n">
        <v>0</v>
      </c>
      <c r="G50" s="37">
        <f>IF(NOT(_xlfn.ISFORMULA(F50)),"↖ 0 지우고 수식",IF(IFERROR(ROUND(F50,4)=ROUND(AB50,4),F50=AB50),"✔ 맞음","✘ 다시"))</f>
        <v/>
      </c>
      <c r="H50" s="12" t="inlineStr">
        <is>
          <t>SUM 두 개를 나눕니다</t>
        </is>
      </c>
      <c r="I50" s="36" t="n"/>
      <c r="J50" s="36" t="n"/>
      <c r="K50" s="36" t="n"/>
      <c r="AB50">
        <f>SUM(F5:F34)/SUM(E5:E34)</f>
        <v/>
      </c>
    </row>
    <row r="51" ht="21" customHeight="1">
      <c r="A51" s="34" t="inlineStr">
        <is>
          <t xml:space="preserve">  다중 조건 — IFS · 중첩 IF · AND/OR</t>
        </is>
      </c>
    </row>
    <row r="52" ht="26" customHeight="1">
      <c r="A52" s="35" t="inlineStr">
        <is>
          <t>9  ▶F52</t>
        </is>
      </c>
      <c r="B52" s="11" t="inlineStr">
        <is>
          <t>불량률[F5/E5] 을 기준으로 등급을 매기시오. 1% 미만 "A", 3% 미만 "B", 5% 미만 "C", 그 밖 "D".</t>
        </is>
      </c>
      <c r="C52" s="36" t="n"/>
      <c r="D52" s="36" t="n"/>
      <c r="E52" s="36" t="n"/>
      <c r="F52" s="24" t="n">
        <v>0</v>
      </c>
      <c r="G52" s="37">
        <f>IF(NOT(_xlfn.ISFORMULA(F52)),"↖ 0 지우고 수식",IF(IFERROR(ROUND(F52,4)=ROUND(AB52,4),F52=AB52),"✔ 맞음","✘ 다시"))</f>
        <v/>
      </c>
      <c r="H52" s="12" t="inlineStr">
        <is>
          <t>IFS(조건1, 값1, 조건2, 값2, …, TRUE, 나머지)</t>
        </is>
      </c>
      <c r="I52" s="36" t="n"/>
      <c r="J52" s="36" t="n"/>
      <c r="K52" s="36" t="n"/>
      <c r="AB52">
        <f>_xlfn.IFS(F5/E5&lt;1%,"A",F5/E5&lt;3%,"B",F5/E5&lt;5%,"C",TRUE,"D")</f>
        <v/>
      </c>
    </row>
    <row r="53" ht="26" customHeight="1">
      <c r="A53" s="35" t="inlineStr">
        <is>
          <t>10  ▶F53</t>
        </is>
      </c>
      <c r="B53" s="11" t="inlineStr">
        <is>
          <t>같은 것을 IF 를 겹쳐서 만드시오. (중첩 IF)</t>
        </is>
      </c>
      <c r="C53" s="36" t="n"/>
      <c r="D53" s="36" t="n"/>
      <c r="E53" s="36" t="n"/>
      <c r="F53" s="24" t="n">
        <v>0</v>
      </c>
      <c r="G53" s="37">
        <f>IF(NOT(_xlfn.ISFORMULA(F53)),"↖ 0 지우고 수식",IF(IFERROR(ROUND(F53,4)=ROUND(AB53,4),F53=AB53),"✔ 맞음","✘ 다시"))</f>
        <v/>
      </c>
      <c r="H53" s="12" t="inlineStr">
        <is>
          <t>IF(조건, 값, IF(조건, 값, IF(…)))</t>
        </is>
      </c>
      <c r="I53" s="36" t="n"/>
      <c r="J53" s="36" t="n"/>
      <c r="K53" s="36" t="n"/>
      <c r="AB53">
        <f>IF(F5/E5&lt;1%,"A",IF(F5/E5&lt;3%,"B",IF(F5/E5&lt;5%,"C","D")))</f>
        <v/>
      </c>
    </row>
    <row r="54" ht="26" customHeight="1">
      <c r="A54" s="35" t="inlineStr">
        <is>
          <t>11  ▶F54</t>
        </is>
      </c>
      <c r="B54" s="11" t="inlineStr">
        <is>
          <t>측정값[G5] 이 49.95 이상 50.05 이하이면 "합격", 아니면 "불합격".</t>
        </is>
      </c>
      <c r="C54" s="36" t="n"/>
      <c r="D54" s="36" t="n"/>
      <c r="E54" s="36" t="n"/>
      <c r="F54" s="24" t="n">
        <v>0</v>
      </c>
      <c r="G54" s="37">
        <f>IF(NOT(_xlfn.ISFORMULA(F54)),"↖ 0 지우고 수식",IF(IFERROR(ROUND(F54,4)=ROUND(AB54,4),F54=AB54),"✔ 맞음","✘ 다시"))</f>
        <v/>
      </c>
      <c r="H54" s="12" t="inlineStr">
        <is>
          <t>AND 로 두 조건을 묶습니다</t>
        </is>
      </c>
      <c r="I54" s="36" t="n"/>
      <c r="J54" s="36" t="n"/>
      <c r="K54" s="36" t="n"/>
      <c r="AB54">
        <f>IF(AND(G5&gt;=49.95,G5&lt;=50.05),"합격","불합격")</f>
        <v/>
      </c>
    </row>
    <row r="55" ht="26" customHeight="1">
      <c r="A55" s="35" t="inlineStr">
        <is>
          <t>12  ▶F55</t>
        </is>
      </c>
      <c r="B55" s="11" t="inlineStr">
        <is>
          <t>공정[C5] 이 "가공" 이거나 불량수[F5] 가 20 이상이면 "중점관리", 아니면 빈칸.</t>
        </is>
      </c>
      <c r="C55" s="36" t="n"/>
      <c r="D55" s="36" t="n"/>
      <c r="E55" s="36" t="n"/>
      <c r="F55" s="24" t="n">
        <v>0</v>
      </c>
      <c r="G55" s="37">
        <f>IF(NOT(_xlfn.ISFORMULA(F55)),"↖ 0 지우고 수식",IF(IFERROR(ROUND(F55,4)=ROUND(AB55,4),F55=AB55),"✔ 맞음","✘ 다시"))</f>
        <v/>
      </c>
      <c r="H55" s="12" t="inlineStr">
        <is>
          <t>OR · 빈칸은 ""</t>
        </is>
      </c>
      <c r="I55" s="36" t="n"/>
      <c r="J55" s="36" t="n"/>
      <c r="K55" s="36" t="n"/>
      <c r="AB55">
        <f>IF(OR(C5="가공",F5&gt;=20),"중점관리","")</f>
        <v/>
      </c>
    </row>
    <row r="56" ht="21" customHeight="1">
      <c r="A56" s="34" t="inlineStr">
        <is>
          <t xml:space="preserve">  찾기 · 참조 심화 — INDEX · MATCH · VLOOKUP 근사값</t>
        </is>
      </c>
    </row>
    <row r="57" ht="26" customHeight="1">
      <c r="A57" s="35" t="inlineStr">
        <is>
          <t>13  ▶F57</t>
        </is>
      </c>
      <c r="B57" s="11" t="inlineStr">
        <is>
          <t>불량수가 가장 많았던 줄의 로트번호[B5:B34].</t>
        </is>
      </c>
      <c r="C57" s="36" t="n"/>
      <c r="D57" s="36" t="n"/>
      <c r="E57" s="36" t="n"/>
      <c r="F57" s="24" t="n">
        <v>0</v>
      </c>
      <c r="G57" s="37">
        <f>IF(NOT(_xlfn.ISFORMULA(F57)),"↖ 0 지우고 수식",IF(IFERROR(ROUND(F57,4)=ROUND(AB57,4),F57=AB57),"✔ 맞음","✘ 다시"))</f>
        <v/>
      </c>
      <c r="H57" s="12" t="inlineStr">
        <is>
          <t>MATCH 로 몇 번째인지 찾고 INDEX 로 꺼냅니다</t>
        </is>
      </c>
      <c r="I57" s="36" t="n"/>
      <c r="J57" s="36" t="n"/>
      <c r="K57" s="36" t="n"/>
      <c r="AB57">
        <f>INDEX(B5:B34,MATCH(MAX(F5:F34),F5:F34,0))</f>
        <v/>
      </c>
    </row>
    <row r="58" ht="26" customHeight="1">
      <c r="A58" s="35" t="inlineStr">
        <is>
          <t>14  ▶F58</t>
        </is>
      </c>
      <c r="B58" s="11" t="inlineStr">
        <is>
          <t>검사수량이 가장 많았던 줄의 작업자[D5:D34].</t>
        </is>
      </c>
      <c r="C58" s="36" t="n"/>
      <c r="D58" s="36" t="n"/>
      <c r="E58" s="36" t="n"/>
      <c r="F58" s="24" t="n">
        <v>0</v>
      </c>
      <c r="G58" s="37">
        <f>IF(NOT(_xlfn.ISFORMULA(F58)),"↖ 0 지우고 수식",IF(IFERROR(ROUND(F58,4)=ROUND(AB58,4),F58=AB58),"✔ 맞음","✘ 다시"))</f>
        <v/>
      </c>
      <c r="H58" s="12" t="inlineStr">
        <is>
          <t>같은 방법</t>
        </is>
      </c>
      <c r="I58" s="36" t="n"/>
      <c r="J58" s="36" t="n"/>
      <c r="K58" s="36" t="n"/>
      <c r="AB58">
        <f>INDEX(D5:D34,MATCH(MAX(E5:E34),E5:E34,0))</f>
        <v/>
      </c>
    </row>
    <row r="59" ht="26" customHeight="1">
      <c r="A59" s="35" t="inlineStr">
        <is>
          <t>15  ▶F59</t>
        </is>
      </c>
      <c r="B59" s="11" t="inlineStr">
        <is>
          <t>로트번호 "L26-0312-A" 는 위에서 몇 번째 줄인가.</t>
        </is>
      </c>
      <c r="C59" s="36" t="n"/>
      <c r="D59" s="36" t="n"/>
      <c r="E59" s="36" t="n"/>
      <c r="F59" s="24" t="n">
        <v>0</v>
      </c>
      <c r="G59" s="37">
        <f>IF(NOT(_xlfn.ISFORMULA(F59)),"↖ 0 지우고 수식",IF(IFERROR(ROUND(F59,4)=ROUND(AB59,4),F59=AB59),"✔ 맞음","✘ 다시"))</f>
        <v/>
      </c>
      <c r="H59" s="12" t="inlineStr">
        <is>
          <t>MATCH(찾을 값, 범위, 0)</t>
        </is>
      </c>
      <c r="I59" s="36" t="n"/>
      <c r="J59" s="36" t="n"/>
      <c r="K59" s="36" t="n"/>
      <c r="AB59">
        <f>MATCH("L26-0312-A",B5:B34,0)</f>
        <v/>
      </c>
    </row>
    <row r="60" ht="26" customHeight="1">
      <c r="A60" s="35" t="inlineStr">
        <is>
          <t>16  ▶F60</t>
        </is>
      </c>
      <c r="B60" s="11" t="inlineStr">
        <is>
          <t>불량률[F5/E5] 로 등급 기준표[N5:O8] 에서 등급을 찾아오시오. (근사값)</t>
        </is>
      </c>
      <c r="C60" s="36" t="n"/>
      <c r="D60" s="36" t="n"/>
      <c r="E60" s="36" t="n"/>
      <c r="F60" s="24" t="n">
        <v>0</v>
      </c>
      <c r="G60" s="37">
        <f>IF(NOT(_xlfn.ISFORMULA(F60)),"↖ 0 지우고 수식",IF(IFERROR(ROUND(F60,4)=ROUND(AB60,4),F60=AB60),"✔ 맞음","✘ 다시"))</f>
        <v/>
      </c>
      <c r="H60" s="12" t="inlineStr">
        <is>
          <t>VLOOKUP 의 네 번째 인수를 TRUE 로</t>
        </is>
      </c>
      <c r="I60" s="36" t="n"/>
      <c r="J60" s="36" t="n"/>
      <c r="K60" s="36" t="n"/>
      <c r="AB60">
        <f>VLOOKUP(F5/E5,$N$5:$O$8,2,TRUE)</f>
        <v/>
      </c>
    </row>
    <row r="61" ht="26" customHeight="1">
      <c r="A61" s="35" t="inlineStr">
        <is>
          <t>17  ▶F61</t>
        </is>
      </c>
      <c r="B61" s="11" t="inlineStr">
        <is>
          <t>INDEX 로 표의 3번째 줄, 4번째 열(작업자)의 값을 꺼내시오. (범위 A5:G34)</t>
        </is>
      </c>
      <c r="C61" s="36" t="n"/>
      <c r="D61" s="36" t="n"/>
      <c r="E61" s="36" t="n"/>
      <c r="F61" s="24" t="n">
        <v>0</v>
      </c>
      <c r="G61" s="37">
        <f>IF(NOT(_xlfn.ISFORMULA(F61)),"↖ 0 지우고 수식",IF(IFERROR(ROUND(F61,4)=ROUND(AB61,4),F61=AB61),"✔ 맞음","✘ 다시"))</f>
        <v/>
      </c>
      <c r="H61" s="12" t="inlineStr">
        <is>
          <t>INDEX(범위, 행 번호, 열 번호)</t>
        </is>
      </c>
      <c r="I61" s="36" t="n"/>
      <c r="J61" s="36" t="n"/>
      <c r="K61" s="36" t="n"/>
      <c r="AB61">
        <f>INDEX(A5:G34,3,4)</f>
        <v/>
      </c>
    </row>
    <row r="62" ht="21" customHeight="1">
      <c r="A62" s="34" t="inlineStr">
        <is>
          <t xml:space="preserve">  통계 심화 — STDEV.S · LARGE · RANK.EQ · COUNTIFS · AVERAGEIFS</t>
        </is>
      </c>
    </row>
    <row r="63" ht="26" customHeight="1">
      <c r="A63" s="35" t="inlineStr">
        <is>
          <t>18  ▶F63</t>
        </is>
      </c>
      <c r="B63" s="11" t="inlineStr">
        <is>
          <t>측정값[G5:G34] 의 표본 표준편차를 소수 넷째 자리까지.</t>
        </is>
      </c>
      <c r="C63" s="36" t="n"/>
      <c r="D63" s="36" t="n"/>
      <c r="E63" s="36" t="n"/>
      <c r="F63" s="24" t="n">
        <v>0</v>
      </c>
      <c r="G63" s="37">
        <f>IF(NOT(_xlfn.ISFORMULA(F63)),"↖ 0 지우고 수식",IF(IFERROR(ROUND(F63,4)=ROUND(AB63,4),F63=AB63),"✔ 맞음","✘ 다시"))</f>
        <v/>
      </c>
      <c r="H63" s="12" t="inlineStr">
        <is>
          <t>STDEV.S 를 ROUND 로 감싸기</t>
        </is>
      </c>
      <c r="I63" s="36" t="n"/>
      <c r="J63" s="36" t="n"/>
      <c r="K63" s="36" t="n"/>
      <c r="AB63">
        <f>ROUND(_xlfn.STDEV.S(G5:G34),4)</f>
        <v/>
      </c>
    </row>
    <row r="64" ht="26" customHeight="1">
      <c r="A64" s="35" t="inlineStr">
        <is>
          <t>19  ▶F64</t>
        </is>
      </c>
      <c r="B64" s="11" t="inlineStr">
        <is>
          <t>검사수량 상위 3건의 합계.</t>
        </is>
      </c>
      <c r="C64" s="36" t="n"/>
      <c r="D64" s="36" t="n"/>
      <c r="E64" s="36" t="n"/>
      <c r="F64" s="24" t="n">
        <v>0</v>
      </c>
      <c r="G64" s="37">
        <f>IF(NOT(_xlfn.ISFORMULA(F64)),"↖ 0 지우고 수식",IF(IFERROR(ROUND(F64,4)=ROUND(AB64,4),F64=AB64),"✔ 맞음","✘ 다시"))</f>
        <v/>
      </c>
      <c r="H64" s="12" t="inlineStr">
        <is>
          <t>LARGE 를 세 번 더하거나 배열로</t>
        </is>
      </c>
      <c r="I64" s="36" t="n"/>
      <c r="J64" s="36" t="n"/>
      <c r="K64" s="36" t="n"/>
      <c r="AB64">
        <f>LARGE(E5:E34,1)+LARGE(E5:E34,2)+LARGE(E5:E34,3)</f>
        <v/>
      </c>
    </row>
    <row r="65" ht="26" customHeight="1">
      <c r="A65" s="35" t="inlineStr">
        <is>
          <t>20  ▶F65</t>
        </is>
      </c>
      <c r="B65" s="11" t="inlineStr">
        <is>
          <t>첫 줄 불량수[F5] 는 전체에서 몇 등인가. (큰 값이 1등)</t>
        </is>
      </c>
      <c r="C65" s="36" t="n"/>
      <c r="D65" s="36" t="n"/>
      <c r="E65" s="36" t="n"/>
      <c r="F65" s="24" t="n">
        <v>0</v>
      </c>
      <c r="G65" s="37">
        <f>IF(NOT(_xlfn.ISFORMULA(F65)),"↖ 0 지우고 수식",IF(IFERROR(ROUND(F65,4)=ROUND(AB65,4),F65=AB65),"✔ 맞음","✘ 다시"))</f>
        <v/>
      </c>
      <c r="H65" s="12" t="inlineStr">
        <is>
          <t>RANK.EQ · 범위는 $ 로 고정</t>
        </is>
      </c>
      <c r="I65" s="36" t="n"/>
      <c r="J65" s="36" t="n"/>
      <c r="K65" s="36" t="n"/>
      <c r="AB65">
        <f>_xlfn.RANK.EQ(F5,$F$5:$F$34)</f>
        <v/>
      </c>
    </row>
    <row r="66" ht="26" customHeight="1">
      <c r="A66" s="35" t="inlineStr">
        <is>
          <t>21  ▶F66</t>
        </is>
      </c>
      <c r="B66" s="11" t="inlineStr">
        <is>
          <t>'가공' 이면서 불량수 10 이상인 건수를 COUNTIFS 로.</t>
        </is>
      </c>
      <c r="C66" s="36" t="n"/>
      <c r="D66" s="36" t="n"/>
      <c r="E66" s="36" t="n"/>
      <c r="F66" s="24" t="n">
        <v>0</v>
      </c>
      <c r="G66" s="37">
        <f>IF(NOT(_xlfn.ISFORMULA(F66)),"↖ 0 지우고 수식",IF(IFERROR(ROUND(F66,4)=ROUND(AB66,4),F66=AB66),"✔ 맞음","✘ 다시"))</f>
        <v/>
      </c>
      <c r="H66" s="12" t="inlineStr">
        <is>
          <t>COUNTIFS(범위1, 조건1, 범위2, 조건2)</t>
        </is>
      </c>
      <c r="I66" s="36" t="n"/>
      <c r="J66" s="36" t="n"/>
      <c r="K66" s="36" t="n"/>
      <c r="AB66">
        <f>COUNTIFS(C5:C34,"가공",F5:F34,"&gt;=10")</f>
        <v/>
      </c>
    </row>
    <row r="67" ht="26" customHeight="1">
      <c r="A67" s="35" t="inlineStr">
        <is>
          <t>22  ▶F67</t>
        </is>
      </c>
      <c r="B67" s="11" t="inlineStr">
        <is>
          <t>'가공' 이면서 검사수량 500 이상인 줄의 평균 불량수를 소수 둘째 자리까지.</t>
        </is>
      </c>
      <c r="C67" s="36" t="n"/>
      <c r="D67" s="36" t="n"/>
      <c r="E67" s="36" t="n"/>
      <c r="F67" s="24" t="n">
        <v>0</v>
      </c>
      <c r="G67" s="37">
        <f>IF(NOT(_xlfn.ISFORMULA(F67)),"↖ 0 지우고 수식",IF(IFERROR(ROUND(F67,4)=ROUND(AB67,4),F67=AB67),"✔ 맞음","✘ 다시"))</f>
        <v/>
      </c>
      <c r="H67" s="12" t="inlineStr">
        <is>
          <t>AVERAGEIFS 를 ROUND 로 감싸기</t>
        </is>
      </c>
      <c r="I67" s="36" t="n"/>
      <c r="J67" s="36" t="n"/>
      <c r="K67" s="36" t="n"/>
      <c r="AB67">
        <f>ROUND(AVERAGEIFS(F5:F34,C5:C34,"가공",E5:E34,"&gt;=500"),2)</f>
        <v/>
      </c>
    </row>
    <row r="68" ht="26" customHeight="1">
      <c r="A68" s="35" t="inlineStr">
        <is>
          <t>23  ▶F68</t>
        </is>
      </c>
      <c r="B68" s="11" t="inlineStr">
        <is>
          <t>측정값[G5:G34] 중 규격(49.95~50.05)을 벗어난 건수.</t>
        </is>
      </c>
      <c r="C68" s="36" t="n"/>
      <c r="D68" s="36" t="n"/>
      <c r="E68" s="36" t="n"/>
      <c r="F68" s="24" t="n">
        <v>0</v>
      </c>
      <c r="G68" s="37">
        <f>IF(NOT(_xlfn.ISFORMULA(F68)),"↖ 0 지우고 수식",IF(IFERROR(ROUND(F68,4)=ROUND(AB68,4),F68=AB68),"✔ 맞음","✘ 다시"))</f>
        <v/>
      </c>
      <c r="H68" s="12" t="inlineStr">
        <is>
          <t>COUNTIF 두 번 더하기</t>
        </is>
      </c>
      <c r="I68" s="36" t="n"/>
      <c r="J68" s="36" t="n"/>
      <c r="K68" s="36" t="n"/>
      <c r="AB68">
        <f>COUNTIF(G5:G34,"&gt;50.05")+COUNTIF(G5:G34,"&lt;49.95")</f>
        <v/>
      </c>
    </row>
    <row r="69" ht="21" customHeight="1">
      <c r="A69" s="34" t="inlineStr">
        <is>
          <t xml:space="preserve">  문자열 — 로트번호 뜯어보기</t>
        </is>
      </c>
    </row>
    <row r="70" ht="26" customHeight="1">
      <c r="A70" s="35" t="inlineStr">
        <is>
          <t>24  ▶F70</t>
        </is>
      </c>
      <c r="B70" s="11" t="inlineStr">
        <is>
          <t>로트번호[B5] 의 5번째부터 2글자. (검사한 달)</t>
        </is>
      </c>
      <c r="C70" s="36" t="n"/>
      <c r="D70" s="36" t="n"/>
      <c r="E70" s="36" t="n"/>
      <c r="F70" s="24" t="n">
        <v>0</v>
      </c>
      <c r="G70" s="37">
        <f>IF(NOT(_xlfn.ISFORMULA(F70)),"↖ 0 지우고 수식",IF(IFERROR(ROUND(F70,4)=ROUND(AB70,4),F70=AB70),"✔ 맞음","✘ 다시"))</f>
        <v/>
      </c>
      <c r="H70" s="12" t="inlineStr">
        <is>
          <t>MID(글자, 시작, 개수)</t>
        </is>
      </c>
      <c r="I70" s="36" t="n"/>
      <c r="J70" s="36" t="n"/>
      <c r="K70" s="36" t="n"/>
      <c r="AB70">
        <f>MID(B5,5,2)</f>
        <v/>
      </c>
    </row>
    <row r="71" ht="26" customHeight="1">
      <c r="A71" s="35" t="inlineStr">
        <is>
          <t>25  ▶F71</t>
        </is>
      </c>
      <c r="B71" s="11" t="inlineStr">
        <is>
          <t>로트번호[B5] 의 맨 끝 한 글자. (라인 A/B/C)</t>
        </is>
      </c>
      <c r="C71" s="36" t="n"/>
      <c r="D71" s="36" t="n"/>
      <c r="E71" s="36" t="n"/>
      <c r="F71" s="24" t="n">
        <v>0</v>
      </c>
      <c r="G71" s="37">
        <f>IF(NOT(_xlfn.ISFORMULA(F71)),"↖ 0 지우고 수식",IF(IFERROR(ROUND(F71,4)=ROUND(AB71,4),F71=AB71),"✔ 맞음","✘ 다시"))</f>
        <v/>
      </c>
      <c r="H71" s="12" t="inlineStr">
        <is>
          <t>RIGHT(글자, 1)</t>
        </is>
      </c>
      <c r="I71" s="36" t="n"/>
      <c r="J71" s="36" t="n"/>
      <c r="K71" s="36" t="n"/>
      <c r="AB71">
        <f>RIGHT(B5,1)</f>
        <v/>
      </c>
    </row>
    <row r="72" ht="26" customHeight="1">
      <c r="A72" s="35" t="inlineStr">
        <is>
          <t>26  ▶F72</t>
        </is>
      </c>
      <c r="B72" s="11" t="inlineStr">
        <is>
          <t>로트번호[B5] 에서 붙임표(-) 가 처음 나오는 자리.</t>
        </is>
      </c>
      <c r="C72" s="36" t="n"/>
      <c r="D72" s="36" t="n"/>
      <c r="E72" s="36" t="n"/>
      <c r="F72" s="24" t="n">
        <v>0</v>
      </c>
      <c r="G72" s="37">
        <f>IF(NOT(_xlfn.ISFORMULA(F72)),"↖ 0 지우고 수식",IF(IFERROR(ROUND(F72,4)=ROUND(AB72,4),F72=AB72),"✔ 맞음","✘ 다시"))</f>
        <v/>
      </c>
      <c r="H72" s="12" t="inlineStr">
        <is>
          <t>FIND("-", 글자)</t>
        </is>
      </c>
      <c r="I72" s="36" t="n"/>
      <c r="J72" s="36" t="n"/>
      <c r="K72" s="36" t="n"/>
      <c r="AB72">
        <f>FIND("-",B5)</f>
        <v/>
      </c>
    </row>
    <row r="73" ht="26" customHeight="1">
      <c r="A73" s="35" t="inlineStr">
        <is>
          <t>27  ▶F73</t>
        </is>
      </c>
      <c r="B73" s="11" t="inlineStr">
        <is>
          <t>로트번호[B5] 의 글자 수.</t>
        </is>
      </c>
      <c r="C73" s="36" t="n"/>
      <c r="D73" s="36" t="n"/>
      <c r="E73" s="36" t="n"/>
      <c r="F73" s="24" t="n">
        <v>0</v>
      </c>
      <c r="G73" s="37">
        <f>IF(NOT(_xlfn.ISFORMULA(F73)),"↖ 0 지우고 수식",IF(IFERROR(ROUND(F73,4)=ROUND(AB73,4),F73=AB73),"✔ 맞음","✘ 다시"))</f>
        <v/>
      </c>
      <c r="H73" s="12" t="inlineStr">
        <is>
          <t>LEN</t>
        </is>
      </c>
      <c r="I73" s="36" t="n"/>
      <c r="J73" s="36" t="n"/>
      <c r="K73" s="36" t="n"/>
      <c r="AB73">
        <f>LEN(B5)</f>
        <v/>
      </c>
    </row>
    <row r="74" ht="26" customHeight="1">
      <c r="A74" s="35" t="inlineStr">
        <is>
          <t>28  ▶F74</t>
        </is>
      </c>
      <c r="B74" s="11" t="inlineStr">
        <is>
          <t>공정[C5] 과 작업자[D5] 를  가공-김현수  처럼 이어 붙이시오.</t>
        </is>
      </c>
      <c r="C74" s="36" t="n"/>
      <c r="D74" s="36" t="n"/>
      <c r="E74" s="36" t="n"/>
      <c r="F74" s="24" t="n">
        <v>0</v>
      </c>
      <c r="G74" s="37">
        <f>IF(NOT(_xlfn.ISFORMULA(F74)),"↖ 0 지우고 수식",IF(IFERROR(ROUND(F74,4)=ROUND(AB74,4),F74=AB74),"✔ 맞음","✘ 다시"))</f>
        <v/>
      </c>
      <c r="H74" s="12" t="inlineStr">
        <is>
          <t>&amp; 로 이어 붙이기 · 가운데 "-"</t>
        </is>
      </c>
      <c r="I74" s="36" t="n"/>
      <c r="J74" s="36" t="n"/>
      <c r="K74" s="36" t="n"/>
      <c r="AB74">
        <f>C5&amp;"-"&amp;D5</f>
        <v/>
      </c>
    </row>
    <row r="75" ht="26" customHeight="1">
      <c r="A75" s="35" t="inlineStr">
        <is>
          <t>29  ▶F75</t>
        </is>
      </c>
      <c r="B75" s="11" t="inlineStr">
        <is>
          <t>로트번호[B5] 앞 3글자를 소문자로.</t>
        </is>
      </c>
      <c r="C75" s="36" t="n"/>
      <c r="D75" s="36" t="n"/>
      <c r="E75" s="36" t="n"/>
      <c r="F75" s="24" t="n">
        <v>0</v>
      </c>
      <c r="G75" s="37">
        <f>IF(NOT(_xlfn.ISFORMULA(F75)),"↖ 0 지우고 수식",IF(IFERROR(ROUND(F75,4)=ROUND(AB75,4),F75=AB75),"✔ 맞음","✘ 다시"))</f>
        <v/>
      </c>
      <c r="H75" s="12" t="inlineStr">
        <is>
          <t>LOWER 와 LEFT 를 겹쳐서</t>
        </is>
      </c>
      <c r="I75" s="36" t="n"/>
      <c r="J75" s="36" t="n"/>
      <c r="K75" s="36" t="n"/>
      <c r="AB75">
        <f>LOWER(LEFT(B5,3))</f>
        <v/>
      </c>
    </row>
    <row r="76" ht="21" customHeight="1">
      <c r="A76" s="34" t="inlineStr">
        <is>
          <t xml:space="preserve">  날짜 · 반올림</t>
        </is>
      </c>
    </row>
    <row r="77" ht="26" customHeight="1">
      <c r="A77" s="35" t="inlineStr">
        <is>
          <t>30  ▶F77</t>
        </is>
      </c>
      <c r="B77" s="11" t="inlineStr">
        <is>
          <t>검사일[A5] 이 몇 분기인가. (1~4)</t>
        </is>
      </c>
      <c r="C77" s="36" t="n"/>
      <c r="D77" s="36" t="n"/>
      <c r="E77" s="36" t="n"/>
      <c r="F77" s="24" t="n">
        <v>0</v>
      </c>
      <c r="G77" s="37">
        <f>IF(NOT(_xlfn.ISFORMULA(F77)),"↖ 0 지우고 수식",IF(IFERROR(ROUND(F77,4)=ROUND(AB77,4),F77=AB77),"✔ 맞음","✘ 다시"))</f>
        <v/>
      </c>
      <c r="H77" s="12" t="inlineStr">
        <is>
          <t>MONTH 를 3 으로 나눠 올림 — ROUNDUP</t>
        </is>
      </c>
      <c r="I77" s="36" t="n"/>
      <c r="J77" s="36" t="n"/>
      <c r="K77" s="36" t="n"/>
      <c r="AB77">
        <f>ROUNDUP(MONTH(A5)/3,0)</f>
        <v/>
      </c>
    </row>
    <row r="78" ht="26" customHeight="1">
      <c r="A78" s="35" t="inlineStr">
        <is>
          <t>31  ▶F78</t>
        </is>
      </c>
      <c r="B78" s="11" t="inlineStr">
        <is>
          <t>첫 검사일[A5] 부터 마지막 검사일[A34] 까지 며칠인가.</t>
        </is>
      </c>
      <c r="C78" s="36" t="n"/>
      <c r="D78" s="36" t="n"/>
      <c r="E78" s="36" t="n"/>
      <c r="F78" s="24" t="n">
        <v>0</v>
      </c>
      <c r="G78" s="37">
        <f>IF(NOT(_xlfn.ISFORMULA(F78)),"↖ 0 지우고 수식",IF(IFERROR(ROUND(F78,4)=ROUND(AB78,4),F78=AB78),"✔ 맞음","✘ 다시"))</f>
        <v/>
      </c>
      <c r="H78" s="12" t="inlineStr">
        <is>
          <t>DAYS(늦은 날, 이른 날)</t>
        </is>
      </c>
      <c r="I78" s="36" t="n"/>
      <c r="J78" s="36" t="n"/>
      <c r="K78" s="36" t="n"/>
      <c r="AB78">
        <f>_xlfn.DAYS(A34,A5)</f>
        <v/>
      </c>
    </row>
    <row r="79" ht="26" customHeight="1">
      <c r="A79" s="35" t="inlineStr">
        <is>
          <t>32  ▶F79</t>
        </is>
      </c>
      <c r="B79" s="11" t="inlineStr">
        <is>
          <t>검사일[A5] 의 요일 번호. (월요일이 1)</t>
        </is>
      </c>
      <c r="C79" s="36" t="n"/>
      <c r="D79" s="36" t="n"/>
      <c r="E79" s="36" t="n"/>
      <c r="F79" s="24" t="n">
        <v>0</v>
      </c>
      <c r="G79" s="37">
        <f>IF(NOT(_xlfn.ISFORMULA(F79)),"↖ 0 지우고 수식",IF(IFERROR(ROUND(F79,4)=ROUND(AB79,4),F79=AB79),"✔ 맞음","✘ 다시"))</f>
        <v/>
      </c>
      <c r="H79" s="12" t="inlineStr">
        <is>
          <t>WEEKDAY(날짜, 2)</t>
        </is>
      </c>
      <c r="I79" s="36" t="n"/>
      <c r="J79" s="36" t="n"/>
      <c r="K79" s="36" t="n"/>
      <c r="AB79">
        <f>WEEKDAY(A5,2)</f>
        <v/>
      </c>
    </row>
    <row r="80" ht="26" customHeight="1">
      <c r="A80" s="35" t="inlineStr">
        <is>
          <t>33  ▶F80</t>
        </is>
      </c>
      <c r="B80" s="11" t="inlineStr">
        <is>
          <t>측정값[G5] 을 소수 첫째 자리까지 반올림.</t>
        </is>
      </c>
      <c r="C80" s="36" t="n"/>
      <c r="D80" s="36" t="n"/>
      <c r="E80" s="36" t="n"/>
      <c r="F80" s="38" t="n">
        <v>0</v>
      </c>
      <c r="G80" s="37">
        <f>IF(NOT(_xlfn.ISFORMULA(F80)),"↖ 0 지우고 수식",IF(IFERROR(ROUND(F80,4)=ROUND(AB80,4),F80=AB80),"✔ 맞음","✘ 다시"))</f>
        <v/>
      </c>
      <c r="H80" s="12" t="inlineStr">
        <is>
          <t>ROUND(값, 1)</t>
        </is>
      </c>
      <c r="I80" s="36" t="n"/>
      <c r="J80" s="36" t="n"/>
      <c r="K80" s="36" t="n"/>
      <c r="AB80">
        <f>ROUND(G5,1)</f>
        <v/>
      </c>
    </row>
    <row r="81" ht="26" customHeight="1">
      <c r="A81" s="35" t="inlineStr">
        <is>
          <t>34  ▶F81</t>
        </is>
      </c>
      <c r="B81" s="11" t="inlineStr">
        <is>
          <t>전체 검사수량 합계를 100 으로 나눈 나머지.</t>
        </is>
      </c>
      <c r="C81" s="36" t="n"/>
      <c r="D81" s="36" t="n"/>
      <c r="E81" s="36" t="n"/>
      <c r="F81" s="24" t="n">
        <v>0</v>
      </c>
      <c r="G81" s="37">
        <f>IF(NOT(_xlfn.ISFORMULA(F81)),"↖ 0 지우고 수식",IF(IFERROR(ROUND(F81,4)=ROUND(AB81,4),F81=AB81),"✔ 맞음","✘ 다시"))</f>
        <v/>
      </c>
      <c r="H81" s="12" t="inlineStr">
        <is>
          <t>MOD</t>
        </is>
      </c>
      <c r="I81" s="36" t="n"/>
      <c r="J81" s="36" t="n"/>
      <c r="K81" s="36" t="n"/>
      <c r="AB81">
        <f>MOD(SUM(E5:E34),100)</f>
        <v/>
      </c>
    </row>
    <row r="83" ht="30" customHeight="1">
      <c r="A83" s="6" t="inlineStr">
        <is>
          <t>★ [배열 수식] 분류의 문제는 Ctrl+Shift+Enter 로 마칩니다. 그냥 Enter 를 누르면 #VALUE! 가 납니다(이 컴퓨터의 엑셀 기준).</t>
        </is>
      </c>
    </row>
  </sheetData>
  <mergeCells count="82">
    <mergeCell ref="B65:E65"/>
    <mergeCell ref="B74:E74"/>
    <mergeCell ref="B68:E68"/>
    <mergeCell ref="A51:K51"/>
    <mergeCell ref="H42:K42"/>
    <mergeCell ref="B45:E45"/>
    <mergeCell ref="H53:K53"/>
    <mergeCell ref="A41:K41"/>
    <mergeCell ref="H67:K67"/>
    <mergeCell ref="A56:K56"/>
    <mergeCell ref="H55:K55"/>
    <mergeCell ref="A2:K2"/>
    <mergeCell ref="H59:K59"/>
    <mergeCell ref="H52:K52"/>
    <mergeCell ref="A62:K62"/>
    <mergeCell ref="H79:K79"/>
    <mergeCell ref="H61:K61"/>
    <mergeCell ref="B78:E78"/>
    <mergeCell ref="H45:K45"/>
    <mergeCell ref="H72:K72"/>
    <mergeCell ref="H81:K81"/>
    <mergeCell ref="B40:E40"/>
    <mergeCell ref="B49:E49"/>
    <mergeCell ref="H65:K65"/>
    <mergeCell ref="B64:E64"/>
    <mergeCell ref="H71:K71"/>
    <mergeCell ref="B63:E63"/>
    <mergeCell ref="B50:E50"/>
    <mergeCell ref="H54:K54"/>
    <mergeCell ref="H63:K63"/>
    <mergeCell ref="B66:E66"/>
    <mergeCell ref="H50:K50"/>
    <mergeCell ref="B77:E77"/>
    <mergeCell ref="A76:K76"/>
    <mergeCell ref="H49:K49"/>
    <mergeCell ref="B67:E67"/>
    <mergeCell ref="B61:E61"/>
    <mergeCell ref="B53:E53"/>
    <mergeCell ref="H75:K75"/>
    <mergeCell ref="A83:K83"/>
    <mergeCell ref="H80:K80"/>
    <mergeCell ref="A39:K39"/>
    <mergeCell ref="B55:E55"/>
    <mergeCell ref="H48:K48"/>
    <mergeCell ref="B80:E80"/>
    <mergeCell ref="A1:K1"/>
    <mergeCell ref="A69:K69"/>
    <mergeCell ref="B79:E79"/>
    <mergeCell ref="B54:E54"/>
    <mergeCell ref="B72:E72"/>
    <mergeCell ref="B81:E81"/>
    <mergeCell ref="H43:K43"/>
    <mergeCell ref="A37:K37"/>
    <mergeCell ref="H58:K58"/>
    <mergeCell ref="B71:E71"/>
    <mergeCell ref="H40:K40"/>
    <mergeCell ref="B43:E43"/>
    <mergeCell ref="B58:E58"/>
    <mergeCell ref="B52:E52"/>
    <mergeCell ref="H74:K74"/>
    <mergeCell ref="H68:K68"/>
    <mergeCell ref="H60:K60"/>
    <mergeCell ref="B42:E42"/>
    <mergeCell ref="B60:E60"/>
    <mergeCell ref="B57:E57"/>
    <mergeCell ref="B44:E44"/>
    <mergeCell ref="H57:K57"/>
    <mergeCell ref="H66:K66"/>
    <mergeCell ref="H77:K77"/>
    <mergeCell ref="B75:E75"/>
    <mergeCell ref="B59:E59"/>
    <mergeCell ref="H78:K78"/>
    <mergeCell ref="B46:E46"/>
    <mergeCell ref="H44:K44"/>
    <mergeCell ref="B70:E70"/>
    <mergeCell ref="B48:E48"/>
    <mergeCell ref="A47:K47"/>
    <mergeCell ref="H46:K46"/>
    <mergeCell ref="H64:K64"/>
    <mergeCell ref="H73:K73"/>
    <mergeCell ref="H70:K70"/>
    <mergeCell ref="B73:E73"/>
  </mergeCells>
  <conditionalFormatting sqref="H36:K36">
    <cfRule type="expression" priority="1" dxfId="0">
      <formula>ISNUMBER(SEARCH("맞",H36))</formula>
    </cfRule>
    <cfRule type="expression" priority="2" dxfId="1">
      <formula>ISNUMBER(SEARCH("다시",H36))</formula>
    </cfRule>
  </conditionalFormatting>
  <conditionalFormatting sqref="G41:G81">
    <cfRule type="expression" priority="3" dxfId="0">
      <formula>ISNUMBER(SEARCH("맞",G41))</formula>
    </cfRule>
    <cfRule type="expression" priority="4" dxfId="1">
      <formula>ISNUMBER(SEARCH("다시",G41))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4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26" customHeight="1">
      <c r="A1" s="5" t="inlineStr">
        <is>
          <t>데이터베이스 함수 · 조건 표 · 고급 필터 조건</t>
        </is>
      </c>
    </row>
    <row r="2" ht="30" customHeight="1">
      <c r="A2" s="6" t="inlineStr">
        <is>
          <t>조건 표의 머리글은 '품질검사' 시트 4행의 머리글과 글자가 완전히 같아야 합니다.</t>
        </is>
      </c>
    </row>
    <row r="4" ht="26" customHeight="1">
      <c r="A4" s="39" t="inlineStr">
        <is>
          <t>조건 표 ①  A5:A6  — 가공 공정</t>
        </is>
      </c>
    </row>
    <row r="5" ht="24" customHeight="1">
      <c r="A5" s="16" t="inlineStr">
        <is>
          <t>공정</t>
        </is>
      </c>
    </row>
    <row r="6">
      <c r="A6" s="19" t="inlineStr">
        <is>
          <t>가공</t>
        </is>
      </c>
    </row>
    <row r="8" ht="26" customHeight="1">
      <c r="A8" s="39" t="inlineStr">
        <is>
          <t>조건 표 ②  A9:A10  — 불량수 15 이상</t>
        </is>
      </c>
    </row>
    <row r="9" ht="24" customHeight="1">
      <c r="A9" s="16" t="inlineStr">
        <is>
          <t>불량수</t>
        </is>
      </c>
    </row>
    <row r="10">
      <c r="A10" s="19" t="inlineStr">
        <is>
          <t>&gt;=15</t>
        </is>
      </c>
    </row>
    <row r="12" ht="26" customHeight="1">
      <c r="A12" s="39" t="inlineStr">
        <is>
          <t>조건 표 ③  A13:B14  — 조립이면서 검사수량 330 이상</t>
        </is>
      </c>
    </row>
    <row r="13" ht="24" customHeight="1">
      <c r="A13" s="16" t="inlineStr">
        <is>
          <t>공정</t>
        </is>
      </c>
      <c r="B13" s="16" t="inlineStr">
        <is>
          <t>검사수량</t>
        </is>
      </c>
    </row>
    <row r="14">
      <c r="A14" s="19" t="inlineStr">
        <is>
          <t>조립</t>
        </is>
      </c>
      <c r="B14" s="19" t="inlineStr">
        <is>
          <t>&gt;=330</t>
        </is>
      </c>
    </row>
    <row r="16" ht="26" customHeight="1">
      <c r="A16" s="39" t="inlineStr">
        <is>
          <t>조건 표 ④  A17:A19  — 가공 또는 포장</t>
        </is>
      </c>
    </row>
    <row r="17" ht="24" customHeight="1">
      <c r="A17" s="16" t="inlineStr">
        <is>
          <t>공정</t>
        </is>
      </c>
    </row>
    <row r="18">
      <c r="A18" s="19" t="inlineStr">
        <is>
          <t>가공</t>
        </is>
      </c>
    </row>
    <row r="19">
      <c r="A19" s="19" t="inlineStr">
        <is>
          <t>포장</t>
        </is>
      </c>
    </row>
    <row r="21" ht="26" customHeight="1">
      <c r="A21" s="39" t="inlineStr">
        <is>
          <t>조건 표 ⑤  A22:A23  — 작업자가 김현수</t>
        </is>
      </c>
    </row>
    <row r="22" ht="24" customHeight="1">
      <c r="A22" s="16" t="inlineStr">
        <is>
          <t>작업자</t>
        </is>
      </c>
    </row>
    <row r="23">
      <c r="A23" s="19" t="inlineStr">
        <is>
          <t>김현수</t>
        </is>
      </c>
    </row>
    <row r="25" ht="26" customHeight="1">
      <c r="A25" s="39" t="inlineStr">
        <is>
          <t>조건 표 ⑥ (고급 필터용 수식 조건)  A26:A27  — 검사수량이 전체 평균보다 많은 줄</t>
        </is>
      </c>
    </row>
    <row r="26" ht="24" customHeight="1">
      <c r="A26" s="16" t="inlineStr">
        <is>
          <t>조건</t>
        </is>
      </c>
      <c r="C26" s="40" t="inlineStr">
        <is>
          <t>※ 수식 조건은 머리글을 비워 두거나 원본에 없는 이름으로 씁니다</t>
        </is>
      </c>
    </row>
    <row r="27">
      <c r="A27" s="27" t="n"/>
      <c r="C27" s="40" t="inlineStr">
        <is>
          <t xml:space="preserve">   A27 에 넣을 것 :  =품질검사!E5&gt;AVERAGE(품질검사!$E$5:$E$34)</t>
        </is>
      </c>
    </row>
    <row r="30" ht="26" customHeight="1">
      <c r="A30" s="5" t="inlineStr">
        <is>
          <t>■ 데이터베이스 함수 10문제 — ▶ 표시된 칸(F열)에</t>
        </is>
      </c>
    </row>
    <row r="31" ht="26" customHeight="1">
      <c r="A31" s="16" t="inlineStr">
        <is>
          <t>번호 ▶ 넣을 칸</t>
        </is>
      </c>
      <c r="B31" s="16" t="inlineStr">
        <is>
          <t>문제 — 무엇을 구하나</t>
        </is>
      </c>
      <c r="C31" s="32" t="n"/>
      <c r="D31" s="32" t="n"/>
      <c r="E31" s="33" t="n"/>
      <c r="F31" s="16" t="inlineStr">
        <is>
          <t>답</t>
        </is>
      </c>
      <c r="G31" s="16" t="inlineStr">
        <is>
          <t>채점</t>
        </is>
      </c>
      <c r="H31" s="16" t="inlineStr">
        <is>
          <t>힌트 — 쓰는 함수</t>
        </is>
      </c>
      <c r="I31" s="32" t="n"/>
      <c r="J31" s="32" t="n"/>
      <c r="K31" s="33" t="n"/>
    </row>
    <row r="32" ht="21" customHeight="1">
      <c r="A32" s="34" t="inlineStr">
        <is>
          <t xml:space="preserve">  조건이 하나일 때</t>
        </is>
      </c>
    </row>
    <row r="33" ht="26" customHeight="1">
      <c r="A33" s="35" t="inlineStr">
        <is>
          <t>1  ▶F33</t>
        </is>
      </c>
      <c r="B33" s="11" t="inlineStr">
        <is>
          <t>'가공' 공정의 불량수 합계.  (조건 표 ① A5:A6)</t>
        </is>
      </c>
      <c r="C33" s="36" t="n"/>
      <c r="D33" s="36" t="n"/>
      <c r="E33" s="36" t="n"/>
      <c r="F33" s="24" t="n">
        <v>0</v>
      </c>
      <c r="G33" s="37">
        <f>IF(NOT(_xlfn.ISFORMULA(F33)),"↖ 0 지우고 수식",IF(IFERROR(ROUND(F33,4)=ROUND(AB33,4),F33=AB33),"✔ 맞음","✘ 다시"))</f>
        <v/>
      </c>
      <c r="H33" s="12" t="inlineStr">
        <is>
          <t>DSUM(전체 표, "필드", 조건 표)</t>
        </is>
      </c>
      <c r="I33" s="36" t="n"/>
      <c r="J33" s="36" t="n"/>
      <c r="K33" s="36" t="n"/>
      <c r="AB33">
        <f>DSUM(품질검사!$A$4:$K$34,"불량수",A5:A6)</f>
        <v/>
      </c>
    </row>
    <row r="34" ht="26" customHeight="1">
      <c r="A34" s="35" t="inlineStr">
        <is>
          <t>2  ▶F34</t>
        </is>
      </c>
      <c r="B34" s="11" t="inlineStr">
        <is>
          <t>'가공' 공정의 평균 검사수량.  (조건 표 ①)</t>
        </is>
      </c>
      <c r="C34" s="36" t="n"/>
      <c r="D34" s="36" t="n"/>
      <c r="E34" s="36" t="n"/>
      <c r="F34" s="24" t="n">
        <v>0</v>
      </c>
      <c r="G34" s="37">
        <f>IF(NOT(_xlfn.ISFORMULA(F34)),"↖ 0 지우고 수식",IF(IFERROR(ROUND(F34,4)=ROUND(AB34,4),F34=AB34),"✔ 맞음","✘ 다시"))</f>
        <v/>
      </c>
      <c r="H34" s="12" t="inlineStr">
        <is>
          <t>DAVERAGE</t>
        </is>
      </c>
      <c r="I34" s="36" t="n"/>
      <c r="J34" s="36" t="n"/>
      <c r="K34" s="36" t="n"/>
      <c r="AB34">
        <f>DAVERAGE(품질검사!$A$4:$K$34,"검사수량",A5:A6)</f>
        <v/>
      </c>
    </row>
    <row r="35" ht="26" customHeight="1">
      <c r="A35" s="35" t="inlineStr">
        <is>
          <t>3  ▶F35</t>
        </is>
      </c>
      <c r="B35" s="11" t="inlineStr">
        <is>
          <t>'가공' 공정의 최대 측정값.  (조건 표 ①)</t>
        </is>
      </c>
      <c r="C35" s="36" t="n"/>
      <c r="D35" s="36" t="n"/>
      <c r="E35" s="36" t="n"/>
      <c r="F35" s="24" t="n">
        <v>0</v>
      </c>
      <c r="G35" s="37">
        <f>IF(NOT(_xlfn.ISFORMULA(F35)),"↖ 0 지우고 수식",IF(IFERROR(ROUND(F35,4)=ROUND(AB35,4),F35=AB35),"✔ 맞음","✘ 다시"))</f>
        <v/>
      </c>
      <c r="H35" s="12" t="inlineStr">
        <is>
          <t>DMAX</t>
        </is>
      </c>
      <c r="I35" s="36" t="n"/>
      <c r="J35" s="36" t="n"/>
      <c r="K35" s="36" t="n"/>
      <c r="AB35">
        <f>DMAX(품질검사!$A$4:$K$34,"측정값(mm)",A5:A6)</f>
        <v/>
      </c>
    </row>
    <row r="36" ht="26" customHeight="1">
      <c r="A36" s="35" t="inlineStr">
        <is>
          <t>4  ▶F36</t>
        </is>
      </c>
      <c r="B36" s="11" t="inlineStr">
        <is>
          <t>불량수가 15 이상인 건수.  (조건 표 ② A9:A10)</t>
        </is>
      </c>
      <c r="C36" s="36" t="n"/>
      <c r="D36" s="36" t="n"/>
      <c r="E36" s="36" t="n"/>
      <c r="F36" s="24" t="n">
        <v>0</v>
      </c>
      <c r="G36" s="37">
        <f>IF(NOT(_xlfn.ISFORMULA(F36)),"↖ 0 지우고 수식",IF(IFERROR(ROUND(F36,4)=ROUND(AB36,4),F36=AB36),"✔ 맞음","✘ 다시"))</f>
        <v/>
      </c>
      <c r="H36" s="12" t="inlineStr">
        <is>
          <t>DCOUNT</t>
        </is>
      </c>
      <c r="I36" s="36" t="n"/>
      <c r="J36" s="36" t="n"/>
      <c r="K36" s="36" t="n"/>
      <c r="AB36">
        <f>DCOUNT(품질검사!$A$4:$K$34,"불량수",A9:A10)</f>
        <v/>
      </c>
    </row>
    <row r="37" ht="26" customHeight="1">
      <c r="A37" s="35" t="inlineStr">
        <is>
          <t>5  ▶F37</t>
        </is>
      </c>
      <c r="B37" s="11" t="inlineStr">
        <is>
          <t>불량수가 15 이상인 줄 중 가장 적은 검사수량.  (조건 표 ②)</t>
        </is>
      </c>
      <c r="C37" s="36" t="n"/>
      <c r="D37" s="36" t="n"/>
      <c r="E37" s="36" t="n"/>
      <c r="F37" s="24" t="n">
        <v>0</v>
      </c>
      <c r="G37" s="37">
        <f>IF(NOT(_xlfn.ISFORMULA(F37)),"↖ 0 지우고 수식",IF(IFERROR(ROUND(F37,4)=ROUND(AB37,4),F37=AB37),"✔ 맞음","✘ 다시"))</f>
        <v/>
      </c>
      <c r="H37" s="12" t="inlineStr">
        <is>
          <t>DMIN</t>
        </is>
      </c>
      <c r="I37" s="36" t="n"/>
      <c r="J37" s="36" t="n"/>
      <c r="K37" s="36" t="n"/>
      <c r="AB37">
        <f>DMIN(품질검사!$A$4:$K$34,"검사수량",A9:A10)</f>
        <v/>
      </c>
    </row>
    <row r="38" ht="21" customHeight="1">
      <c r="A38" s="34" t="inlineStr">
        <is>
          <t xml:space="preserve">  조건이 둘 이상일 때</t>
        </is>
      </c>
    </row>
    <row r="39" ht="26" customHeight="1">
      <c r="A39" s="35" t="inlineStr">
        <is>
          <t>6  ▶F39</t>
        </is>
      </c>
      <c r="B39" s="11" t="inlineStr">
        <is>
          <t>'조립' 이면서 검사수량 330 이상인 줄의 최대 불량수.  (조건 표 ③ A13:B14)</t>
        </is>
      </c>
      <c r="C39" s="36" t="n"/>
      <c r="D39" s="36" t="n"/>
      <c r="E39" s="36" t="n"/>
      <c r="F39" s="24" t="n">
        <v>0</v>
      </c>
      <c r="G39" s="37">
        <f>IF(NOT(_xlfn.ISFORMULA(F39)),"↖ 0 지우고 수식",IF(IFERROR(ROUND(F39,4)=ROUND(AB39,4),F39=AB39),"✔ 맞음","✘ 다시"))</f>
        <v/>
      </c>
      <c r="H39" s="12" t="inlineStr">
        <is>
          <t>DMAX · 같은 줄 = 그리고</t>
        </is>
      </c>
      <c r="I39" s="36" t="n"/>
      <c r="J39" s="36" t="n"/>
      <c r="K39" s="36" t="n"/>
      <c r="AB39">
        <f>DMAX(품질검사!$A$4:$K$34,"불량수",A13:B14)</f>
        <v/>
      </c>
    </row>
    <row r="40" ht="26" customHeight="1">
      <c r="A40" s="35" t="inlineStr">
        <is>
          <t>7  ▶F40</t>
        </is>
      </c>
      <c r="B40" s="11" t="inlineStr">
        <is>
          <t>'조립' 이면서 검사수량 330 이상인 줄의 최소 측정값.  (조건 표 ③)</t>
        </is>
      </c>
      <c r="C40" s="36" t="n"/>
      <c r="D40" s="36" t="n"/>
      <c r="E40" s="36" t="n"/>
      <c r="F40" s="24" t="n">
        <v>0</v>
      </c>
      <c r="G40" s="37">
        <f>IF(NOT(_xlfn.ISFORMULA(F40)),"↖ 0 지우고 수식",IF(IFERROR(ROUND(F40,4)=ROUND(AB40,4),F40=AB40),"✔ 맞음","✘ 다시"))</f>
        <v/>
      </c>
      <c r="H40" s="12" t="inlineStr">
        <is>
          <t>DMIN</t>
        </is>
      </c>
      <c r="I40" s="36" t="n"/>
      <c r="J40" s="36" t="n"/>
      <c r="K40" s="36" t="n"/>
      <c r="AB40">
        <f>DMIN(품질검사!$A$4:$K$34,"측정값(mm)",A13:B14)</f>
        <v/>
      </c>
    </row>
    <row r="41" ht="26" customHeight="1">
      <c r="A41" s="35" t="inlineStr">
        <is>
          <t>8  ▶F41</t>
        </is>
      </c>
      <c r="B41" s="11" t="inlineStr">
        <is>
          <t>'가공' 또는 '포장' 인 줄의 검사수량 합계.  (조건 표 ④ A17:A19)</t>
        </is>
      </c>
      <c r="C41" s="36" t="n"/>
      <c r="D41" s="36" t="n"/>
      <c r="E41" s="36" t="n"/>
      <c r="F41" s="24" t="n">
        <v>0</v>
      </c>
      <c r="G41" s="37">
        <f>IF(NOT(_xlfn.ISFORMULA(F41)),"↖ 0 지우고 수식",IF(IFERROR(ROUND(F41,4)=ROUND(AB41,4),F41=AB41),"✔ 맞음","✘ 다시"))</f>
        <v/>
      </c>
      <c r="H41" s="12" t="inlineStr">
        <is>
          <t>줄을 달리 쓰면 '또는'</t>
        </is>
      </c>
      <c r="I41" s="36" t="n"/>
      <c r="J41" s="36" t="n"/>
      <c r="K41" s="36" t="n"/>
      <c r="AB41">
        <f>DSUM(품질검사!$A$4:$K$34,"검사수량",A17:A19)</f>
        <v/>
      </c>
    </row>
    <row r="42" ht="26" customHeight="1">
      <c r="A42" s="35" t="inlineStr">
        <is>
          <t>9  ▶F42</t>
        </is>
      </c>
      <c r="B42" s="11" t="inlineStr">
        <is>
          <t>작업자가 '김현수' 인 줄의 평균 불량수.  (조건 표 ⑤ A22:A23)</t>
        </is>
      </c>
      <c r="C42" s="36" t="n"/>
      <c r="D42" s="36" t="n"/>
      <c r="E42" s="36" t="n"/>
      <c r="F42" s="24" t="n">
        <v>0</v>
      </c>
      <c r="G42" s="37">
        <f>IF(NOT(_xlfn.ISFORMULA(F42)),"↖ 0 지우고 수식",IF(IFERROR(ROUND(F42,4)=ROUND(AB42,4),F42=AB42),"✔ 맞음","✘ 다시"))</f>
        <v/>
      </c>
      <c r="H42" s="12" t="inlineStr">
        <is>
          <t>DAVERAGE</t>
        </is>
      </c>
      <c r="I42" s="36" t="n"/>
      <c r="J42" s="36" t="n"/>
      <c r="K42" s="36" t="n"/>
      <c r="AB42">
        <f>DAVERAGE(품질검사!$A$4:$K$34,"불량수",A22:A23)</f>
        <v/>
      </c>
    </row>
    <row r="43" ht="26" customHeight="1">
      <c r="A43" s="35" t="inlineStr">
        <is>
          <t>10  ▶F43</t>
        </is>
      </c>
      <c r="B43" s="11" t="inlineStr">
        <is>
          <t>작업자가 '김현수' 인 줄의 건수를 글자 필드로 세시오.  (조건 표 ⑤)</t>
        </is>
      </c>
      <c r="C43" s="36" t="n"/>
      <c r="D43" s="36" t="n"/>
      <c r="E43" s="36" t="n"/>
      <c r="F43" s="24" t="n">
        <v>0</v>
      </c>
      <c r="G43" s="37">
        <f>IF(NOT(_xlfn.ISFORMULA(F43)),"↖ 0 지우고 수식",IF(IFERROR(ROUND(F43,4)=ROUND(AB43,4),F43=AB43),"✔ 맞음","✘ 다시"))</f>
        <v/>
      </c>
      <c r="H43" s="12" t="inlineStr">
        <is>
          <t>DCOUNTA</t>
        </is>
      </c>
      <c r="I43" s="36" t="n"/>
      <c r="J43" s="36" t="n"/>
      <c r="K43" s="36" t="n"/>
      <c r="AB43">
        <f>DCOUNTA(품질검사!$A$4:$K$34,"로트번호",A22:A23)</f>
        <v/>
      </c>
    </row>
  </sheetData>
  <mergeCells count="33">
    <mergeCell ref="B40:E40"/>
    <mergeCell ref="A30:K30"/>
    <mergeCell ref="B37:E37"/>
    <mergeCell ref="B33:E33"/>
    <mergeCell ref="H33:K33"/>
    <mergeCell ref="A1:K1"/>
    <mergeCell ref="B36:E36"/>
    <mergeCell ref="H42:K42"/>
    <mergeCell ref="B41:E41"/>
    <mergeCell ref="B35:E35"/>
    <mergeCell ref="A16:H16"/>
    <mergeCell ref="A25:K25"/>
    <mergeCell ref="H35:K35"/>
    <mergeCell ref="H43:K43"/>
    <mergeCell ref="H41:K41"/>
    <mergeCell ref="A12:H12"/>
    <mergeCell ref="B31:E31"/>
    <mergeCell ref="A21:H21"/>
    <mergeCell ref="H40:K40"/>
    <mergeCell ref="H31:K31"/>
    <mergeCell ref="B43:E43"/>
    <mergeCell ref="H39:K39"/>
    <mergeCell ref="H34:K34"/>
    <mergeCell ref="A2:K2"/>
    <mergeCell ref="B39:E39"/>
    <mergeCell ref="A32:K32"/>
    <mergeCell ref="B42:E42"/>
    <mergeCell ref="A8:H8"/>
    <mergeCell ref="A4:H4"/>
    <mergeCell ref="H36:K36"/>
    <mergeCell ref="A38:K38"/>
    <mergeCell ref="B34:E34"/>
    <mergeCell ref="H37:K37"/>
  </mergeCells>
  <conditionalFormatting sqref="G32:G43">
    <cfRule type="expression" priority="1" dxfId="0">
      <formula>ISNUMBER(SEARCH("맞",G32))</formula>
    </cfRule>
    <cfRule type="expression" priority="2" dxfId="1">
      <formula>ISNUMBER(SEARCH("다시",G32))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8" customWidth="1" min="3" max="3"/>
    <col width="40" customWidth="1" min="4" max="4"/>
    <col width="13" customWidth="1" min="5" max="5"/>
    <col width="42" customWidth="1" min="6" max="6"/>
  </cols>
  <sheetData>
    <row r="1" ht="26" customHeight="1">
      <c r="A1" s="5" t="inlineStr">
        <is>
          <t>1급 계산작업 함수 사전 — 형식 · 살아 있는 예시 · 자주 하는 실수</t>
        </is>
      </c>
    </row>
    <row r="2" ht="30" customHeight="1">
      <c r="A2" s="6" t="inlineStr">
        <is>
          <t>[결과] 칸은 옆의 예시 수식을 진짜로 계산한 값입니다. 배열 예시는 SUMPRODUCT 로 바꿔 두어 그냥 계산됩니다.</t>
        </is>
      </c>
    </row>
    <row r="4" ht="24" customHeight="1">
      <c r="A4" s="16" t="inlineStr">
        <is>
          <t>함수</t>
        </is>
      </c>
      <c r="B4" s="16" t="inlineStr">
        <is>
          <t>하는 일</t>
        </is>
      </c>
      <c r="C4" s="16" t="inlineStr">
        <is>
          <t>쓰는 법 (형식)</t>
        </is>
      </c>
      <c r="D4" s="16" t="inlineStr">
        <is>
          <t>이 파일 자료로 든 예시</t>
        </is>
      </c>
      <c r="E4" s="16" t="inlineStr">
        <is>
          <t>결과</t>
        </is>
      </c>
      <c r="F4" s="16" t="inlineStr">
        <is>
          <t>자주 하는 실수</t>
        </is>
      </c>
    </row>
    <row r="5" ht="21" customHeight="1">
      <c r="A5" s="34" t="inlineStr">
        <is>
          <t xml:space="preserve">  배열 수식 — 1급의 고비</t>
        </is>
      </c>
    </row>
    <row r="6" ht="30" customHeight="1">
      <c r="A6" s="41" t="inlineStr">
        <is>
          <t>SUM((조건)*범위)</t>
        </is>
      </c>
      <c r="B6" s="42" t="inlineStr">
        <is>
          <t>조건에 맞는 줄만 더한다</t>
        </is>
      </c>
      <c r="C6" s="43" t="inlineStr">
        <is>
          <t>{=SUM((조건)*범위)}</t>
        </is>
      </c>
      <c r="D6" s="43" t="inlineStr">
        <is>
          <t>=SUMPRODUCT((품질검사!C5:C34="가공")*품질검사!F5:F34)</t>
        </is>
      </c>
      <c r="E6" s="44">
        <f>SUMPRODUCT((품질검사!C5:C34="가공")*품질검사!F5:F34)</f>
        <v/>
      </c>
      <c r="F6" s="42" t="inlineStr">
        <is>
          <t>Ctrl+Shift+Enter 로 마쳐야 한다 · 중괄호를 직접 치면 안 된다</t>
        </is>
      </c>
    </row>
    <row r="7" ht="30" customHeight="1">
      <c r="A7" s="41" t="inlineStr">
        <is>
          <t>AVERAGE(IF())</t>
        </is>
      </c>
      <c r="B7" s="42" t="inlineStr">
        <is>
          <t>조건에 맞는 것만 평균</t>
        </is>
      </c>
      <c r="C7" s="43" t="inlineStr">
        <is>
          <t>{=AVERAGE(IF(조건, 범위))}</t>
        </is>
      </c>
      <c r="D7" s="43" t="inlineStr">
        <is>
          <t>=AVERAGEIF(품질검사!C5:C34,"조립",품질검사!E5:E34)</t>
        </is>
      </c>
      <c r="E7" s="44">
        <f>AVERAGEIF(품질검사!C5:C34,"조립",품질검사!E5:E34)</f>
        <v/>
      </c>
      <c r="F7" s="42" t="inlineStr">
        <is>
          <t>AVERAGEIF 로 바꿔 쓰면 배열이 아니어도 된다</t>
        </is>
      </c>
    </row>
    <row r="8" ht="30" customHeight="1">
      <c r="A8" s="41" t="inlineStr">
        <is>
          <t>MAX(IF())</t>
        </is>
      </c>
      <c r="B8" s="42" t="inlineStr">
        <is>
          <t>조건에 맞는 것 중 최대</t>
        </is>
      </c>
      <c r="C8" s="43" t="inlineStr">
        <is>
          <t>{=MAX(IF(조건, 범위))}</t>
        </is>
      </c>
      <c r="D8" s="43" t="inlineStr">
        <is>
          <t>=SUMPRODUCT(MAX((품질검사!D5:D34="김현수")*품질검사!F5:F34))</t>
        </is>
      </c>
      <c r="E8" s="44">
        <f>SUMPRODUCT(MAX((품질검사!D5:D34="김현수")*품질검사!F5:F34))</f>
        <v/>
      </c>
      <c r="F8" s="42" t="inlineStr"/>
    </row>
    <row r="9" ht="30" customHeight="1">
      <c r="A9" s="41" t="inlineStr">
        <is>
          <t>SUMPRODUCT</t>
        </is>
      </c>
      <c r="B9" s="42" t="inlineStr">
        <is>
          <t>곱해서 더한다 (배열처럼)</t>
        </is>
      </c>
      <c r="C9" s="43" t="inlineStr">
        <is>
          <t>SUMPRODUCT((조건)*(조건)*범위)</t>
        </is>
      </c>
      <c r="D9" s="43" t="inlineStr">
        <is>
          <t>=SUMPRODUCT((품질검사!E5:E34&gt;=400)*(품질검사!F5:F34&gt;=15))</t>
        </is>
      </c>
      <c r="E9" s="44">
        <f>SUMPRODUCT((품질검사!E5:E34&gt;=400)*(품질검사!F5:F34&gt;=15))</f>
        <v/>
      </c>
      <c r="F9" s="42" t="inlineStr">
        <is>
          <t>Ctrl+Shift+Enter 가 필요 없다</t>
        </is>
      </c>
    </row>
    <row r="10" ht="21" customHeight="1">
      <c r="A10" s="34" t="inlineStr">
        <is>
          <t xml:space="preserve">  다중 조건</t>
        </is>
      </c>
    </row>
    <row r="11" ht="30" customHeight="1">
      <c r="A11" s="41" t="inlineStr">
        <is>
          <t>IFS</t>
        </is>
      </c>
      <c r="B11" s="42" t="inlineStr">
        <is>
          <t>여러 조건을 위에서부터</t>
        </is>
      </c>
      <c r="C11" s="43" t="inlineStr">
        <is>
          <t>IFS(조건1, 값1, …, TRUE, 나머지)</t>
        </is>
      </c>
      <c r="D11" s="43" t="inlineStr">
        <is>
          <t>=IFS(품질검사!F5/품질검사!E5&lt;1%,"A",TRUE,"B")</t>
        </is>
      </c>
      <c r="E11" s="44">
        <f>_xlfn.IFS(품질검사!F5/품질검사!E5&lt;1%,"A",TRUE,"B")</f>
        <v/>
      </c>
      <c r="F11" s="42" t="inlineStr">
        <is>
          <t>마지막 TRUE 를 빼면 #N/A 가 난다</t>
        </is>
      </c>
    </row>
    <row r="12" ht="30" customHeight="1">
      <c r="A12" s="41" t="inlineStr">
        <is>
          <t>COUNTIFS</t>
        </is>
      </c>
      <c r="B12" s="42" t="inlineStr">
        <is>
          <t>조건 여러 개로 세기</t>
        </is>
      </c>
      <c r="C12" s="43" t="inlineStr">
        <is>
          <t>COUNTIFS(범위1, 조건1, 범위2, 조건2)</t>
        </is>
      </c>
      <c r="D12" s="43" t="inlineStr">
        <is>
          <t>=COUNTIFS(품질검사!C5:C34,"가공",품질검사!F5:F34,"&gt;=10")</t>
        </is>
      </c>
      <c r="E12" s="44">
        <f>COUNTIFS(품질검사!C5:C34,"가공",품질검사!F5:F34,"&gt;=10")</f>
        <v/>
      </c>
      <c r="F12" s="42" t="inlineStr"/>
    </row>
    <row r="13" ht="30" customHeight="1">
      <c r="A13" s="41" t="inlineStr">
        <is>
          <t>SUMIFS</t>
        </is>
      </c>
      <c r="B13" s="42" t="inlineStr">
        <is>
          <t>조건 여러 개로 더하기</t>
        </is>
      </c>
      <c r="C13" s="43" t="inlineStr">
        <is>
          <t>SUMIFS(더할범위, 범위1, 조건1, …)</t>
        </is>
      </c>
      <c r="D13" s="43" t="inlineStr">
        <is>
          <t>=SUMIFS(품질검사!F5:F34,품질검사!C5:C34,"가공")</t>
        </is>
      </c>
      <c r="E13" s="44">
        <f>SUMIFS(품질검사!F5:F34,품질검사!C5:C34,"가공")</f>
        <v/>
      </c>
      <c r="F13" s="42" t="inlineStr">
        <is>
          <t>더할 범위가 맨 앞 — SUMIF 와 순서가 다르다</t>
        </is>
      </c>
    </row>
    <row r="14" ht="30" customHeight="1">
      <c r="A14" s="41" t="inlineStr">
        <is>
          <t>AVERAGEIFS</t>
        </is>
      </c>
      <c r="B14" s="42" t="inlineStr">
        <is>
          <t>조건 여러 개로 평균</t>
        </is>
      </c>
      <c r="C14" s="43" t="inlineStr">
        <is>
          <t>AVERAGEIFS(평균범위, 범위1, 조건1, …)</t>
        </is>
      </c>
      <c r="D14" s="43" t="inlineStr">
        <is>
          <t>=ROUND(AVERAGEIFS(품질검사!F5:F34,품질검사!C5:C34,"가공"),2)</t>
        </is>
      </c>
      <c r="E14" s="44">
        <f>ROUND(AVERAGEIFS(품질검사!F5:F34,품질검사!C5:C34,"가공"),2)</f>
        <v/>
      </c>
      <c r="F14" s="42" t="inlineStr">
        <is>
          <t>평균 낼 범위가 맨 앞</t>
        </is>
      </c>
    </row>
    <row r="15" ht="21" customHeight="1">
      <c r="A15" s="34" t="inlineStr">
        <is>
          <t xml:space="preserve">  찾기 · 참조</t>
        </is>
      </c>
    </row>
    <row r="16" ht="30" customHeight="1">
      <c r="A16" s="41" t="inlineStr">
        <is>
          <t>INDEX</t>
        </is>
      </c>
      <c r="B16" s="42" t="inlineStr">
        <is>
          <t>몇 번째 자리의 값</t>
        </is>
      </c>
      <c r="C16" s="43" t="inlineStr">
        <is>
          <t>INDEX(범위, 행, [열])</t>
        </is>
      </c>
      <c r="D16" s="43" t="inlineStr">
        <is>
          <t>=INDEX(품질검사!A5:G34,3,4)</t>
        </is>
      </c>
      <c r="E16" s="44">
        <f>INDEX(품질검사!A5:G34,3,4)</f>
        <v/>
      </c>
      <c r="F16" s="42" t="inlineStr"/>
    </row>
    <row r="17" ht="30" customHeight="1">
      <c r="A17" s="41" t="inlineStr">
        <is>
          <t>MATCH</t>
        </is>
      </c>
      <c r="B17" s="42" t="inlineStr">
        <is>
          <t>몇 번째에 있는지</t>
        </is>
      </c>
      <c r="C17" s="43" t="inlineStr">
        <is>
          <t>MATCH(찾을값, 범위, 0)</t>
        </is>
      </c>
      <c r="D17" s="43" t="inlineStr">
        <is>
          <t>=MATCH("L26-0312-A",품질검사!B5:B34,0)</t>
        </is>
      </c>
      <c r="E17" s="44">
        <f>MATCH("L26-0312-A",품질검사!B5:B34,0)</f>
        <v/>
      </c>
      <c r="F17" s="42" t="inlineStr">
        <is>
          <t>마지막 0 을 빼면 엉뚱한 자리</t>
        </is>
      </c>
    </row>
    <row r="18" ht="30" customHeight="1">
      <c r="A18" s="41" t="inlineStr">
        <is>
          <t>VLOOKUP</t>
        </is>
      </c>
      <c r="B18" s="42" t="inlineStr">
        <is>
          <t>세로 표에서 찾기</t>
        </is>
      </c>
      <c r="C18" s="43" t="inlineStr">
        <is>
          <t>VLOOKUP(찾을값, 표, 열번호, FALSE/TRUE)</t>
        </is>
      </c>
      <c r="D18" s="43" t="inlineStr">
        <is>
          <t>=VLOOKUP(품질검사!F5/품질검사!E5,품질검사!$N$5:$O$8,2,TRUE)</t>
        </is>
      </c>
      <c r="E18" s="44">
        <f>VLOOKUP(품질검사!F5/품질검사!E5,품질검사!$N$5:$O$8,2,TRUE)</f>
        <v/>
      </c>
      <c r="F18" s="42" t="inlineStr">
        <is>
          <t>TRUE(근사값)를 쓰려면 기준표 첫 열이 오름차순이어야 한다</t>
        </is>
      </c>
    </row>
    <row r="19" ht="30" customHeight="1">
      <c r="A19" s="41" t="inlineStr">
        <is>
          <t>CHOOSE</t>
        </is>
      </c>
      <c r="B19" s="42" t="inlineStr">
        <is>
          <t>번호로 고르기</t>
        </is>
      </c>
      <c r="C19" s="43" t="inlineStr">
        <is>
          <t>CHOOSE(번호, 1번, 2번, …)</t>
        </is>
      </c>
      <c r="D19" s="43" t="inlineStr">
        <is>
          <t>=CHOOSE(MONTH(품질검사!A5),1,1,1,2,2,2,3,3,3,4,4,4)</t>
        </is>
      </c>
      <c r="E19" s="44">
        <f>CHOOSE(MONTH(품질검사!A5),1,1,1,2,2,2,3,3,3,4,4,4)</f>
        <v/>
      </c>
      <c r="F19" s="42" t="inlineStr"/>
    </row>
    <row r="20" ht="21" customHeight="1">
      <c r="A20" s="34" t="inlineStr">
        <is>
          <t xml:space="preserve">  통계</t>
        </is>
      </c>
    </row>
    <row r="21" ht="30" customHeight="1">
      <c r="A21" s="41" t="inlineStr">
        <is>
          <t>STDEV.S</t>
        </is>
      </c>
      <c r="B21" s="42" t="inlineStr">
        <is>
          <t>표본 표준편차</t>
        </is>
      </c>
      <c r="C21" s="43" t="inlineStr">
        <is>
          <t>STDEV.S(범위)</t>
        </is>
      </c>
      <c r="D21" s="43" t="inlineStr">
        <is>
          <t>=ROUND(STDEV.S(품질검사!G5:G34),4)</t>
        </is>
      </c>
      <c r="E21" s="44">
        <f>ROUND(_xlfn.STDEV.S(품질검사!G5:G34),4)</f>
        <v/>
      </c>
      <c r="F21" s="42" t="inlineStr">
        <is>
          <t>모집단 전체면 STDEV.P</t>
        </is>
      </c>
    </row>
    <row r="22" ht="30" customHeight="1">
      <c r="A22" s="41" t="inlineStr">
        <is>
          <t>LARGE</t>
        </is>
      </c>
      <c r="B22" s="42" t="inlineStr">
        <is>
          <t>몇 번째로 큰 값</t>
        </is>
      </c>
      <c r="C22" s="43" t="inlineStr">
        <is>
          <t>LARGE(범위, 몇 번째)</t>
        </is>
      </c>
      <c r="D22" s="43" t="inlineStr">
        <is>
          <t>=LARGE(품질검사!E5:E34,3)</t>
        </is>
      </c>
      <c r="E22" s="44">
        <f>LARGE(품질검사!E5:E34,3)</f>
        <v/>
      </c>
      <c r="F22" s="42" t="inlineStr"/>
    </row>
    <row r="23" ht="30" customHeight="1">
      <c r="A23" s="41" t="inlineStr">
        <is>
          <t>RANK.EQ</t>
        </is>
      </c>
      <c r="B23" s="42" t="inlineStr">
        <is>
          <t>순위</t>
        </is>
      </c>
      <c r="C23" s="43" t="inlineStr">
        <is>
          <t>RANK.EQ(값, 범위)</t>
        </is>
      </c>
      <c r="D23" s="43" t="inlineStr">
        <is>
          <t>=RANK.EQ(품질검사!F5,품질검사!$F$5:$F$34)</t>
        </is>
      </c>
      <c r="E23" s="44">
        <f>_xlfn.RANK.EQ(품질검사!F5,품질검사!$F$5:$F$34)</f>
        <v/>
      </c>
      <c r="F23" s="42" t="inlineStr">
        <is>
          <t>범위를 $ 로 고정</t>
        </is>
      </c>
    </row>
    <row r="24" ht="30" customHeight="1">
      <c r="A24" s="41" t="inlineStr">
        <is>
          <t>MEDIAN</t>
        </is>
      </c>
      <c r="B24" s="42" t="inlineStr">
        <is>
          <t>가운데 값</t>
        </is>
      </c>
      <c r="C24" s="43" t="inlineStr">
        <is>
          <t>MEDIAN(범위)</t>
        </is>
      </c>
      <c r="D24" s="43" t="inlineStr">
        <is>
          <t>=MEDIAN(품질검사!E5:E34)</t>
        </is>
      </c>
      <c r="E24" s="44">
        <f>MEDIAN(품질검사!E5:E34)</f>
        <v/>
      </c>
      <c r="F24" s="42" t="inlineStr"/>
    </row>
    <row r="25" ht="21" customHeight="1">
      <c r="A25" s="34" t="inlineStr">
        <is>
          <t xml:space="preserve">  문자열 · 날짜</t>
        </is>
      </c>
    </row>
    <row r="26" ht="30" customHeight="1">
      <c r="A26" s="41" t="inlineStr">
        <is>
          <t>MID</t>
        </is>
      </c>
      <c r="B26" s="42" t="inlineStr">
        <is>
          <t>가운데에서 뽑기</t>
        </is>
      </c>
      <c r="C26" s="43" t="inlineStr">
        <is>
          <t>MID(글자, 시작, 개수)</t>
        </is>
      </c>
      <c r="D26" s="43" t="inlineStr">
        <is>
          <t>=MID(품질검사!B5,5,2)</t>
        </is>
      </c>
      <c r="E26" s="44">
        <f>MID(품질검사!B5,5,2)</f>
        <v/>
      </c>
      <c r="F26" s="42" t="inlineStr">
        <is>
          <t>시작 위치는 1부터</t>
        </is>
      </c>
    </row>
    <row r="27" ht="30" customHeight="1">
      <c r="A27" s="41" t="inlineStr">
        <is>
          <t>FIND</t>
        </is>
      </c>
      <c r="B27" s="42" t="inlineStr">
        <is>
          <t>몇 번째 글자인지 찾기</t>
        </is>
      </c>
      <c r="C27" s="43" t="inlineStr">
        <is>
          <t>FIND("찾을글자", 글자)</t>
        </is>
      </c>
      <c r="D27" s="43" t="inlineStr">
        <is>
          <t>=FIND("-",품질검사!B5)</t>
        </is>
      </c>
      <c r="E27" s="44">
        <f>FIND("-",품질검사!B5)</f>
        <v/>
      </c>
      <c r="F27" s="42" t="inlineStr">
        <is>
          <t>없으면 #VALUE! — IFERROR 로 감싼다</t>
        </is>
      </c>
    </row>
    <row r="28" ht="30" customHeight="1">
      <c r="A28" s="41" t="inlineStr">
        <is>
          <t>LEN</t>
        </is>
      </c>
      <c r="B28" s="42" t="inlineStr">
        <is>
          <t>글자 수</t>
        </is>
      </c>
      <c r="C28" s="43" t="inlineStr">
        <is>
          <t>LEN(글자)</t>
        </is>
      </c>
      <c r="D28" s="43" t="inlineStr">
        <is>
          <t>=LEN(품질검사!B5)</t>
        </is>
      </c>
      <c r="E28" s="44">
        <f>LEN(품질검사!B5)</f>
        <v/>
      </c>
      <c r="F28" s="42" t="inlineStr"/>
    </row>
    <row r="29" ht="30" customHeight="1">
      <c r="A29" s="41" t="inlineStr">
        <is>
          <t>LOWER</t>
        </is>
      </c>
      <c r="B29" s="42" t="inlineStr">
        <is>
          <t>소문자로</t>
        </is>
      </c>
      <c r="C29" s="43" t="inlineStr">
        <is>
          <t>LOWER(글자)</t>
        </is>
      </c>
      <c r="D29" s="43" t="inlineStr">
        <is>
          <t>=LOWER(LEFT(품질검사!B5,3))</t>
        </is>
      </c>
      <c r="E29" s="44">
        <f>LOWER(LEFT(품질검사!B5,3))</f>
        <v/>
      </c>
      <c r="F29" s="42" t="inlineStr"/>
    </row>
    <row r="30" ht="30" customHeight="1">
      <c r="A30" s="41" t="inlineStr">
        <is>
          <t>DAYS</t>
        </is>
      </c>
      <c r="B30" s="42" t="inlineStr">
        <is>
          <t>두 날짜 사이 일수</t>
        </is>
      </c>
      <c r="C30" s="43" t="inlineStr">
        <is>
          <t>DAYS(늦은날, 이른날)</t>
        </is>
      </c>
      <c r="D30" s="43" t="inlineStr">
        <is>
          <t>=DAYS(품질검사!A34,품질검사!A5)</t>
        </is>
      </c>
      <c r="E30" s="44">
        <f>_xlfn.DAYS(품질검사!A34,품질검사!A5)</f>
        <v/>
      </c>
      <c r="F30" s="42" t="inlineStr"/>
    </row>
    <row r="31" ht="30" customHeight="1">
      <c r="A31" s="41" t="inlineStr">
        <is>
          <t>WEEKDAY</t>
        </is>
      </c>
      <c r="B31" s="42" t="inlineStr">
        <is>
          <t>요일 번호</t>
        </is>
      </c>
      <c r="C31" s="43" t="inlineStr">
        <is>
          <t>WEEKDAY(날짜, 2)</t>
        </is>
      </c>
      <c r="D31" s="43" t="inlineStr">
        <is>
          <t>=WEEKDAY(품질검사!A5,2)</t>
        </is>
      </c>
      <c r="E31" s="44">
        <f>WEEKDAY(품질검사!A5,2)</f>
        <v/>
      </c>
      <c r="F31" s="42" t="inlineStr">
        <is>
          <t>2 를 빼면 일요일이 1</t>
        </is>
      </c>
    </row>
    <row r="32" ht="21" customHeight="1">
      <c r="A32" s="34" t="inlineStr">
        <is>
          <t xml:space="preserve">  데이터베이스</t>
        </is>
      </c>
    </row>
    <row r="33" ht="30" customHeight="1">
      <c r="A33" s="41" t="inlineStr">
        <is>
          <t>DSUM</t>
        </is>
      </c>
      <c r="B33" s="42" t="inlineStr">
        <is>
          <t>조건 표로 더하기</t>
        </is>
      </c>
      <c r="C33" s="43" t="inlineStr">
        <is>
          <t>DSUM(전체표, "필드", 조건표)</t>
        </is>
      </c>
      <c r="D33" s="43" t="inlineStr">
        <is>
          <t>=DSUM(품질검사!$A$4:$K$34,"불량수",DB조건!A5:A6)</t>
        </is>
      </c>
      <c r="E33" s="44">
        <f>DSUM(품질검사!$A$4:$K$34,"불량수",DB조건!A5:A6)</f>
        <v/>
      </c>
      <c r="F33" s="42" t="inlineStr">
        <is>
          <t>전체 표를 머리글부터 잡아야 한다</t>
        </is>
      </c>
    </row>
    <row r="34" ht="30" customHeight="1">
      <c r="A34" s="41" t="inlineStr">
        <is>
          <t>DAVERAGE</t>
        </is>
      </c>
      <c r="B34" s="42" t="inlineStr">
        <is>
          <t>조건 표로 평균</t>
        </is>
      </c>
      <c r="C34" s="43" t="inlineStr">
        <is>
          <t>DAVERAGE(전체표, "필드", 조건표)</t>
        </is>
      </c>
      <c r="D34" s="43" t="inlineStr">
        <is>
          <t>=DAVERAGE(품질검사!$A$4:$K$34,"검사수량",DB조건!A5:A6)</t>
        </is>
      </c>
      <c r="E34" s="44">
        <f>DAVERAGE(품질검사!$A$4:$K$34,"검사수량",DB조건!A5:A6)</f>
        <v/>
      </c>
      <c r="F34" s="42" t="inlineStr"/>
    </row>
    <row r="35" ht="30" customHeight="1">
      <c r="A35" s="41" t="inlineStr">
        <is>
          <t>DCOUNT</t>
        </is>
      </c>
      <c r="B35" s="42" t="inlineStr">
        <is>
          <t>조건 표로 숫자 세기</t>
        </is>
      </c>
      <c r="C35" s="43" t="inlineStr">
        <is>
          <t>DCOUNT(전체표, "필드", 조건표)</t>
        </is>
      </c>
      <c r="D35" s="43" t="inlineStr">
        <is>
          <t>=DCOUNT(품질검사!$A$4:$K$34,"불량수",DB조건!A9:A10)</t>
        </is>
      </c>
      <c r="E35" s="44">
        <f>DCOUNT(품질검사!$A$4:$K$34,"불량수",DB조건!A9:A10)</f>
        <v/>
      </c>
      <c r="F35" s="42" t="inlineStr">
        <is>
          <t>글자 필드는 DCOUNTA</t>
        </is>
      </c>
    </row>
    <row r="36" ht="30" customHeight="1">
      <c r="A36" s="41" t="inlineStr">
        <is>
          <t>DMAX</t>
        </is>
      </c>
      <c r="B36" s="42" t="inlineStr">
        <is>
          <t>조건 표로 최대</t>
        </is>
      </c>
      <c r="C36" s="43" t="inlineStr">
        <is>
          <t>DMAX(전체표, "필드", 조건표)</t>
        </is>
      </c>
      <c r="D36" s="43" t="inlineStr">
        <is>
          <t>=DMAX(품질검사!$A$4:$K$34,"불량수",DB조건!A13:B14)</t>
        </is>
      </c>
      <c r="E36" s="44">
        <f>DMAX(품질검사!$A$4:$K$34,"불량수",DB조건!A13:B14)</f>
        <v/>
      </c>
      <c r="F36" s="42" t="inlineStr"/>
    </row>
  </sheetData>
  <mergeCells count="8">
    <mergeCell ref="A2:F2"/>
    <mergeCell ref="A10:F10"/>
    <mergeCell ref="A1:F1"/>
    <mergeCell ref="A5:F5"/>
    <mergeCell ref="A32:F32"/>
    <mergeCell ref="A20:F20"/>
    <mergeCell ref="A15:F15"/>
    <mergeCell ref="A25:F25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46" customWidth="1" min="4" max="4"/>
    <col width="13" customWidth="1" min="5" max="5"/>
    <col width="44" customWidth="1" min="6" max="6"/>
  </cols>
  <sheetData>
    <row r="1" ht="26" customHeight="1">
      <c r="A1" s="5" t="inlineStr">
        <is>
          <t>1급 ① 계산작업 정답 — 공정 품질검사</t>
        </is>
      </c>
    </row>
    <row r="2" ht="30" customHeight="1">
      <c r="A2" s="6" t="inlineStr">
        <is>
          <t>먼저 스스로 만들어 본 뒤에 펼쳐 보세요.  [넣을 칸] 이 그 답을 적을 자리이고, [정답값] 은 제대로 넣었을 때 나와야 하는 값입니다.</t>
        </is>
      </c>
    </row>
    <row r="4" ht="22" customHeight="1">
      <c r="A4" s="45" t="inlineStr">
        <is>
          <t xml:space="preserve">  표 안의 노란 열 (H5 에 만들어 H34 까지 끌어 채우기)</t>
        </is>
      </c>
    </row>
    <row r="5" ht="24" customHeight="1">
      <c r="A5" s="16" t="inlineStr">
        <is>
          <t>번호</t>
        </is>
      </c>
      <c r="B5" s="16" t="inlineStr">
        <is>
          <t>넣을 칸</t>
        </is>
      </c>
      <c r="C5" s="16" t="inlineStr">
        <is>
          <t>무엇을 구하나</t>
        </is>
      </c>
      <c r="D5" s="16" t="inlineStr">
        <is>
          <t>정답 수식</t>
        </is>
      </c>
      <c r="E5" s="16" t="inlineStr">
        <is>
          <t>정답값</t>
        </is>
      </c>
      <c r="F5" s="16" t="inlineStr">
        <is>
          <t>왜 그런가 · 자주 하는 실수</t>
        </is>
      </c>
    </row>
    <row r="6" ht="30" customHeight="1">
      <c r="A6" s="19" t="n">
        <v>1</v>
      </c>
      <c r="B6" s="46" t="inlineStr">
        <is>
          <t>품질검사 H5</t>
        </is>
      </c>
      <c r="C6" s="42" t="inlineStr">
        <is>
          <t>불량률 — 불량수÷검사수량 (서식 0.00%)</t>
        </is>
      </c>
      <c r="D6" s="47" t="inlineStr">
        <is>
          <t>=F5/E5</t>
        </is>
      </c>
      <c r="E6" s="44">
        <f>품질검사!AB5</f>
        <v/>
      </c>
      <c r="F6" s="42" t="inlineStr">
        <is>
          <t>수식에 *100 을 하지 않습니다</t>
        </is>
      </c>
    </row>
    <row r="7" ht="30" customHeight="1">
      <c r="A7" s="48" t="n">
        <v>2</v>
      </c>
      <c r="B7" s="49" t="inlineStr">
        <is>
          <t>품질검사 I5</t>
        </is>
      </c>
      <c r="C7" s="50" t="inlineStr">
        <is>
          <t>등급 — IFS 로 A·B·C·D</t>
        </is>
      </c>
      <c r="D7" s="51" t="inlineStr">
        <is>
          <t>=IFS(F5/E5&lt;1%,"A",F5/E5&lt;3%,"B",F5/E5&lt;5%,"C",TRUE,"D")</t>
        </is>
      </c>
      <c r="E7" s="52">
        <f>품질검사!AC5</f>
        <v/>
      </c>
      <c r="F7" s="50" t="inlineStr">
        <is>
          <t>마지막 TRUE 가 '나머지 전부'</t>
        </is>
      </c>
    </row>
    <row r="8" ht="30" customHeight="1">
      <c r="A8" s="19" t="n">
        <v>3</v>
      </c>
      <c r="B8" s="46" t="inlineStr">
        <is>
          <t>품질검사 J5</t>
        </is>
      </c>
      <c r="C8" s="42" t="inlineStr">
        <is>
          <t>규격판정 — 50.00±0.05</t>
        </is>
      </c>
      <c r="D8" s="47" t="inlineStr">
        <is>
          <t>=IF(AND(G5&gt;=49.95,G5&lt;=50.05),"합격","불합격")</t>
        </is>
      </c>
      <c r="E8" s="44">
        <f>품질검사!AD5</f>
        <v/>
      </c>
      <c r="F8" s="42" t="inlineStr">
        <is>
          <t>AND 는 둘 다 참일 때만 참</t>
        </is>
      </c>
    </row>
    <row r="9" ht="30" customHeight="1">
      <c r="A9" s="48" t="n">
        <v>4</v>
      </c>
      <c r="B9" s="49" t="inlineStr">
        <is>
          <t>품질검사 K5</t>
        </is>
      </c>
      <c r="C9" s="50" t="inlineStr">
        <is>
          <t>로트월 — 로트번호 5번째부터 2글자</t>
        </is>
      </c>
      <c r="D9" s="51" t="inlineStr">
        <is>
          <t>=MID(B5,5,2)</t>
        </is>
      </c>
      <c r="E9" s="52">
        <f>품질검사!AE5</f>
        <v/>
      </c>
      <c r="F9" s="50" t="inlineStr">
        <is>
          <t>L26-0302-A → 03</t>
        </is>
      </c>
    </row>
    <row r="11" ht="22" customHeight="1">
      <c r="A11" s="45" t="inlineStr">
        <is>
          <t xml:space="preserve">  집계 문제 34개</t>
        </is>
      </c>
    </row>
    <row r="12" ht="24" customHeight="1">
      <c r="A12" s="16" t="inlineStr">
        <is>
          <t>번호</t>
        </is>
      </c>
      <c r="B12" s="16" t="inlineStr">
        <is>
          <t>넣을 칸</t>
        </is>
      </c>
      <c r="C12" s="16" t="inlineStr">
        <is>
          <t>무엇을 구하나</t>
        </is>
      </c>
      <c r="D12" s="16" t="inlineStr">
        <is>
          <t>정답 수식</t>
        </is>
      </c>
      <c r="E12" s="16" t="inlineStr">
        <is>
          <t>정답값</t>
        </is>
      </c>
      <c r="F12" s="16" t="inlineStr">
        <is>
          <t>왜 그런가 · 자주 하는 실수</t>
        </is>
      </c>
    </row>
    <row r="13" ht="30" customHeight="1">
      <c r="A13" s="19" t="n">
        <v>1</v>
      </c>
      <c r="B13" s="46" t="inlineStr">
        <is>
          <t>품질검사 F42</t>
        </is>
      </c>
      <c r="C13" s="42" t="inlineStr">
        <is>
          <t>'가공' 공정[C5:C34] 의 불량수[F5:F34] 합계를 배열 수식으로.</t>
        </is>
      </c>
      <c r="D13" s="47" t="inlineStr">
        <is>
          <t>=SUM((C5:C34="가공")*F5:F34)</t>
        </is>
      </c>
      <c r="E13" s="44">
        <f>'품질검사'!AB42</f>
        <v/>
      </c>
      <c r="F13" s="42" t="inlineStr">
        <is>
          <t>조건 (C5:C34="가공") 은 TRUE/FALSE 의 줄이 되고, 그것을 곱하면 TRUE=1, FALSE=0 이 됩니다</t>
        </is>
      </c>
    </row>
    <row r="14" ht="30" customHeight="1">
      <c r="A14" s="48" t="n">
        <v>2</v>
      </c>
      <c r="B14" s="49" t="inlineStr">
        <is>
          <t>품질검사 F43</t>
        </is>
      </c>
      <c r="C14" s="50" t="inlineStr">
        <is>
          <t>'가공' 이면서 불량수가 10 이상인 건수를 배열 수식으로.</t>
        </is>
      </c>
      <c r="D14" s="51" t="inlineStr">
        <is>
          <t>=SUM((C5:C34="가공")*(F5:F34&gt;=10))</t>
        </is>
      </c>
      <c r="E14" s="52">
        <f>'품질검사'!AB43</f>
        <v/>
      </c>
      <c r="F14" s="50" t="inlineStr">
        <is>
          <t>곱하기 = 그리고(AND), 더하기 = 또는(OR)</t>
        </is>
      </c>
    </row>
    <row r="15" ht="30" customHeight="1">
      <c r="A15" s="19" t="n">
        <v>3</v>
      </c>
      <c r="B15" s="46" t="inlineStr">
        <is>
          <t>품질검사 F44</t>
        </is>
      </c>
      <c r="C15" s="42" t="inlineStr">
        <is>
          <t>'조립' 또는 '검사' 인 건수를 배열 수식으로.</t>
        </is>
      </c>
      <c r="D15" s="47" t="inlineStr">
        <is>
          <t>=SUM((C5:C34="조립")+(C5:C34="검사"))</t>
        </is>
      </c>
      <c r="E15" s="44">
        <f>'품질검사'!AB44</f>
        <v/>
      </c>
      <c r="F15" s="42" t="inlineStr">
        <is>
          <t>둘 다 참인 줄이 있으면 2 가 되므로, 겹치지 않는 조건일 때만 씁니다</t>
        </is>
      </c>
    </row>
    <row r="16" ht="30" customHeight="1">
      <c r="A16" s="48" t="n">
        <v>4</v>
      </c>
      <c r="B16" s="49" t="inlineStr">
        <is>
          <t>품질검사 F45</t>
        </is>
      </c>
      <c r="C16" s="50" t="inlineStr">
        <is>
          <t>'조립' 공정의 검사수량[E5:E34] 평균을 배열 수식으로.</t>
        </is>
      </c>
      <c r="D16" s="51" t="inlineStr">
        <is>
          <t>=AVERAGE(IF(C5:C34="조립",E5:E34))</t>
        </is>
      </c>
      <c r="E16" s="52">
        <f>'품질검사'!AB45</f>
        <v/>
      </c>
      <c r="F16" s="50" t="inlineStr">
        <is>
          <t>IF 가 조건에 안 맞는 줄을 FALSE 로 만들고, AVERAGE 는 그것을 건너뜁니다</t>
        </is>
      </c>
    </row>
    <row r="17" ht="30" customHeight="1">
      <c r="A17" s="19" t="n">
        <v>5</v>
      </c>
      <c r="B17" s="46" t="inlineStr">
        <is>
          <t>품질검사 F46</t>
        </is>
      </c>
      <c r="C17" s="42" t="inlineStr">
        <is>
          <t>작업자 '김현수'[D5:D34] 의 최대 불량수를 배열 수식으로.</t>
        </is>
      </c>
      <c r="D17" s="47" t="inlineStr">
        <is>
          <t>=MAX(IF(D5:D34="김현수",F5:F34))</t>
        </is>
      </c>
      <c r="E17" s="44">
        <f>'품질검사'!AB46</f>
        <v/>
      </c>
      <c r="F17" s="42" t="inlineStr">
        <is>
          <t>MIN(IF(...)) 로 최소도 같은 방법으로 구합니다</t>
        </is>
      </c>
    </row>
    <row r="18" ht="30" customHeight="1">
      <c r="A18" s="48" t="n">
        <v>6</v>
      </c>
      <c r="B18" s="49" t="inlineStr">
        <is>
          <t>품질검사 F48</t>
        </is>
      </c>
      <c r="C18" s="50" t="inlineStr">
        <is>
          <t>'조립' 이면서 작업자가 '박지훈' 인 줄의 검사수량 합계.</t>
        </is>
      </c>
      <c r="D18" s="51" t="inlineStr">
        <is>
          <t>=SUMPRODUCT((C5:C34="조립")*(D5:D34="박지훈")*E5:E34)</t>
        </is>
      </c>
      <c r="E18" s="52">
        <f>'품질검사'!AB48</f>
        <v/>
      </c>
      <c r="F18" s="50" t="inlineStr">
        <is>
          <t>SUMPRODUCT 는 배열처럼 계산하면서도 그냥 Enter 로 끝납니다</t>
        </is>
      </c>
    </row>
    <row r="19" ht="30" customHeight="1">
      <c r="A19" s="19" t="n">
        <v>7</v>
      </c>
      <c r="B19" s="46" t="inlineStr">
        <is>
          <t>품질검사 F49</t>
        </is>
      </c>
      <c r="C19" s="42" t="inlineStr">
        <is>
          <t>검사수량이 400 이상이면서 불량수가 15 이상인 건수.</t>
        </is>
      </c>
      <c r="D19" s="47" t="inlineStr">
        <is>
          <t>=SUMPRODUCT((E5:E34&gt;=400)*(F5:F34&gt;=15))</t>
        </is>
      </c>
      <c r="E19" s="44">
        <f>'품질검사'!AB49</f>
        <v/>
      </c>
      <c r="F19" s="42" t="inlineStr">
        <is>
          <t>COUNTIFS 로도 됩니다 — =COUNTIFS(E5:E34,"&gt;=400",F5:F34,"&gt;=15")</t>
        </is>
      </c>
    </row>
    <row r="20" ht="30" customHeight="1">
      <c r="A20" s="48" t="n">
        <v>8</v>
      </c>
      <c r="B20" s="49" t="inlineStr">
        <is>
          <t>품질검사 F50</t>
        </is>
      </c>
      <c r="C20" s="50" t="inlineStr">
        <is>
          <t>공정별 불량률을 따지려고, 전체 불량수 합계를 전체 검사수량 합계로 나눈 값.</t>
        </is>
      </c>
      <c r="D20" s="51" t="inlineStr">
        <is>
          <t>=SUM(F5:F34)/SUM(E5:E34)</t>
        </is>
      </c>
      <c r="E20" s="52">
        <f>'품질검사'!AB50</f>
        <v/>
      </c>
      <c r="F20" s="50" t="inlineStr">
        <is>
          <t>줄마다의 불량률을 평균 내는 것과 다릅니다 — 전체를 한 덩어리로 봅니다</t>
        </is>
      </c>
    </row>
    <row r="21" ht="30" customHeight="1">
      <c r="A21" s="19" t="n">
        <v>9</v>
      </c>
      <c r="B21" s="46" t="inlineStr">
        <is>
          <t>품질검사 F52</t>
        </is>
      </c>
      <c r="C21" s="42" t="inlineStr">
        <is>
          <t>불량률[F5/E5] 을 기준으로 등급을 매기시오. 1% 미만 "A", 3% 미만 "B", 5% 미만 "C", 그 밖 "D".</t>
        </is>
      </c>
      <c r="D21" s="47" t="inlineStr">
        <is>
          <t>=IFS(F5/E5&lt;1%,"A",F5/E5&lt;3%,"B",F5/E5&lt;5%,"C",TRUE,"D")</t>
        </is>
      </c>
      <c r="E21" s="44">
        <f>'품질검사'!AB52</f>
        <v/>
      </c>
      <c r="F21" s="42" t="inlineStr">
        <is>
          <t>IFS 는 위에서부터 처음 맞는 조건에서 멈춥니다. 마지막 TRUE 가 '나머지 전부'</t>
        </is>
      </c>
    </row>
    <row r="22" ht="30" customHeight="1">
      <c r="A22" s="48" t="n">
        <v>10</v>
      </c>
      <c r="B22" s="49" t="inlineStr">
        <is>
          <t>품질검사 F53</t>
        </is>
      </c>
      <c r="C22" s="50" t="inlineStr">
        <is>
          <t>같은 것을 IF 를 겹쳐서 만드시오. (중첩 IF)</t>
        </is>
      </c>
      <c r="D22" s="51" t="inlineStr">
        <is>
          <t>=IF(F5/E5&lt;1%,"A",IF(F5/E5&lt;3%,"B",IF(F5/E5&lt;5%,"C","D")))</t>
        </is>
      </c>
      <c r="E22" s="52">
        <f>'품질검사'!AB53</f>
        <v/>
      </c>
      <c r="F22" s="50" t="inlineStr">
        <is>
          <t>IFS 를 못 쓰는 낮은 버전에서도 되는 방법입니다</t>
        </is>
      </c>
    </row>
    <row r="23" ht="30" customHeight="1">
      <c r="A23" s="19" t="n">
        <v>11</v>
      </c>
      <c r="B23" s="46" t="inlineStr">
        <is>
          <t>품질검사 F54</t>
        </is>
      </c>
      <c r="C23" s="42" t="inlineStr">
        <is>
          <t>측정값[G5] 이 49.95 이상 50.05 이하이면 "합격", 아니면 "불합격".</t>
        </is>
      </c>
      <c r="D23" s="47" t="inlineStr">
        <is>
          <t>=IF(AND(G5&gt;=49.95,G5&lt;=50.05),"합격","불합격")</t>
        </is>
      </c>
      <c r="E23" s="44">
        <f>'품질검사'!AB54</f>
        <v/>
      </c>
      <c r="F23" s="42" t="inlineStr">
        <is>
          <t>규격 50.00 ± 0.05 를 뜻합니다</t>
        </is>
      </c>
    </row>
    <row r="24" ht="30" customHeight="1">
      <c r="A24" s="48" t="n">
        <v>12</v>
      </c>
      <c r="B24" s="49" t="inlineStr">
        <is>
          <t>품질검사 F55</t>
        </is>
      </c>
      <c r="C24" s="50" t="inlineStr">
        <is>
          <t>공정[C5] 이 "가공" 이거나 불량수[F5] 가 20 이상이면 "중점관리", 아니면 빈칸.</t>
        </is>
      </c>
      <c r="D24" s="51" t="inlineStr">
        <is>
          <t>=IF(OR(C5="가공",F5&gt;=20),"중점관리","")</t>
        </is>
      </c>
      <c r="E24" s="52">
        <f>'품질검사'!AB55</f>
        <v/>
      </c>
      <c r="F24" s="50" t="inlineStr"/>
    </row>
    <row r="25" ht="30" customHeight="1">
      <c r="A25" s="19" t="n">
        <v>13</v>
      </c>
      <c r="B25" s="46" t="inlineStr">
        <is>
          <t>품질검사 F57</t>
        </is>
      </c>
      <c r="C25" s="42" t="inlineStr">
        <is>
          <t>불량수가 가장 많았던 줄의 로트번호[B5:B34].</t>
        </is>
      </c>
      <c r="D25" s="47" t="inlineStr">
        <is>
          <t>=INDEX(B5:B34,MATCH(MAX(F5:F34),F5:F34,0))</t>
        </is>
      </c>
      <c r="E25" s="44">
        <f>'품질검사'!AB57</f>
        <v/>
      </c>
      <c r="F25" s="42" t="inlineStr">
        <is>
          <t>VLOOKUP 은 찾는 열보다 왼쪽을 못 가져옵니다. 그럴 때 INDEX+MATCH</t>
        </is>
      </c>
    </row>
    <row r="26" ht="30" customHeight="1">
      <c r="A26" s="48" t="n">
        <v>14</v>
      </c>
      <c r="B26" s="49" t="inlineStr">
        <is>
          <t>품질검사 F58</t>
        </is>
      </c>
      <c r="C26" s="50" t="inlineStr">
        <is>
          <t>검사수량이 가장 많았던 줄의 작업자[D5:D34].</t>
        </is>
      </c>
      <c r="D26" s="51" t="inlineStr">
        <is>
          <t>=INDEX(D5:D34,MATCH(MAX(E5:E34),E5:E34,0))</t>
        </is>
      </c>
      <c r="E26" s="52">
        <f>'품질검사'!AB58</f>
        <v/>
      </c>
      <c r="F26" s="50" t="inlineStr"/>
    </row>
    <row r="27" ht="30" customHeight="1">
      <c r="A27" s="19" t="n">
        <v>15</v>
      </c>
      <c r="B27" s="46" t="inlineStr">
        <is>
          <t>품질검사 F59</t>
        </is>
      </c>
      <c r="C27" s="42" t="inlineStr">
        <is>
          <t>로트번호 "L26-0312-A" 는 위에서 몇 번째 줄인가.</t>
        </is>
      </c>
      <c r="D27" s="47" t="inlineStr">
        <is>
          <t>=MATCH("L26-0312-A",B5:B34,0)</t>
        </is>
      </c>
      <c r="E27" s="44">
        <f>'품질검사'!AB59</f>
        <v/>
      </c>
      <c r="F27" s="42" t="inlineStr">
        <is>
          <t>마지막 0 은 '정확히 일치'. 빼면 엉뚱한 자리를 찾습니다</t>
        </is>
      </c>
    </row>
    <row r="28" ht="30" customHeight="1">
      <c r="A28" s="48" t="n">
        <v>16</v>
      </c>
      <c r="B28" s="49" t="inlineStr">
        <is>
          <t>품질검사 F60</t>
        </is>
      </c>
      <c r="C28" s="50" t="inlineStr">
        <is>
          <t>불량률[F5/E5] 로 등급 기준표[N5:O8] 에서 등급을 찾아오시오. (근사값)</t>
        </is>
      </c>
      <c r="D28" s="51" t="inlineStr">
        <is>
          <t>=VLOOKUP(F5/E5,$N$5:$O$8,2,TRUE)</t>
        </is>
      </c>
      <c r="E28" s="52">
        <f>'품질검사'!AB60</f>
        <v/>
      </c>
      <c r="F28" s="50" t="inlineStr">
        <is>
          <t>근사값을 쓰려면 기준표 첫 열이 반드시 오름차순이어야 합니다</t>
        </is>
      </c>
    </row>
    <row r="29" ht="30" customHeight="1">
      <c r="A29" s="19" t="n">
        <v>17</v>
      </c>
      <c r="B29" s="46" t="inlineStr">
        <is>
          <t>품질검사 F61</t>
        </is>
      </c>
      <c r="C29" s="42" t="inlineStr">
        <is>
          <t>INDEX 로 표의 3번째 줄, 4번째 열(작업자)의 값을 꺼내시오. (범위 A5:G34)</t>
        </is>
      </c>
      <c r="D29" s="47" t="inlineStr">
        <is>
          <t>=INDEX(A5:G34,3,4)</t>
        </is>
      </c>
      <c r="E29" s="44">
        <f>'품질검사'!AB61</f>
        <v/>
      </c>
      <c r="F29" s="42" t="inlineStr">
        <is>
          <t>행과 열을 둘 다 주면 표 안의 한 칸을 콕 집습니다</t>
        </is>
      </c>
    </row>
    <row r="30" ht="30" customHeight="1">
      <c r="A30" s="48" t="n">
        <v>18</v>
      </c>
      <c r="B30" s="49" t="inlineStr">
        <is>
          <t>품질검사 F63</t>
        </is>
      </c>
      <c r="C30" s="50" t="inlineStr">
        <is>
          <t>측정값[G5:G34] 의 표본 표준편차를 소수 넷째 자리까지.</t>
        </is>
      </c>
      <c r="D30" s="51" t="inlineStr">
        <is>
          <t>=ROUND(STDEV.S(G5:G34),4)</t>
        </is>
      </c>
      <c r="E30" s="52">
        <f>'품질검사'!AB63</f>
        <v/>
      </c>
      <c r="F30" s="50" t="inlineStr">
        <is>
          <t>STDEV.S 는 표본, STDEV.P 는 모집단 전체일 때</t>
        </is>
      </c>
    </row>
    <row r="31" ht="30" customHeight="1">
      <c r="A31" s="19" t="n">
        <v>19</v>
      </c>
      <c r="B31" s="46" t="inlineStr">
        <is>
          <t>품질검사 F64</t>
        </is>
      </c>
      <c r="C31" s="42" t="inlineStr">
        <is>
          <t>검사수량 상위 3건의 합계.</t>
        </is>
      </c>
      <c r="D31" s="47" t="inlineStr">
        <is>
          <t>=SUM(LARGE(E5:E34,{1,2,3}))</t>
        </is>
      </c>
      <c r="E31" s="44">
        <f>'품질검사'!AB64</f>
        <v/>
      </c>
      <c r="F31" s="42" t="inlineStr">
        <is>
          <t>{1,2,3} 은 '1등·2등·3등을 한꺼번에' 라는 뜻의 배열 상수입니다</t>
        </is>
      </c>
    </row>
    <row r="32" ht="30" customHeight="1">
      <c r="A32" s="48" t="n">
        <v>20</v>
      </c>
      <c r="B32" s="49" t="inlineStr">
        <is>
          <t>품질검사 F65</t>
        </is>
      </c>
      <c r="C32" s="50" t="inlineStr">
        <is>
          <t>첫 줄 불량수[F5] 는 전체에서 몇 등인가. (큰 값이 1등)</t>
        </is>
      </c>
      <c r="D32" s="51" t="inlineStr">
        <is>
          <t>=RANK.EQ(F5,$F$5:$F$34)</t>
        </is>
      </c>
      <c r="E32" s="52">
        <f>'품질검사'!AB65</f>
        <v/>
      </c>
      <c r="F32" s="50" t="inlineStr"/>
    </row>
    <row r="33" ht="30" customHeight="1">
      <c r="A33" s="19" t="n">
        <v>21</v>
      </c>
      <c r="B33" s="46" t="inlineStr">
        <is>
          <t>품질검사 F66</t>
        </is>
      </c>
      <c r="C33" s="42" t="inlineStr">
        <is>
          <t>'가공' 이면서 불량수 10 이상인 건수를 COUNTIFS 로.</t>
        </is>
      </c>
      <c r="D33" s="47" t="inlineStr">
        <is>
          <t>=COUNTIFS(C5:C34,"가공",F5:F34,"&gt;=10")</t>
        </is>
      </c>
      <c r="E33" s="44">
        <f>'품질검사'!AB66</f>
        <v/>
      </c>
      <c r="F33" s="42" t="inlineStr">
        <is>
          <t>배열 수식 2번과 같은 답이 나와야 합니다</t>
        </is>
      </c>
    </row>
    <row r="34" ht="30" customHeight="1">
      <c r="A34" s="48" t="n">
        <v>22</v>
      </c>
      <c r="B34" s="49" t="inlineStr">
        <is>
          <t>품질검사 F67</t>
        </is>
      </c>
      <c r="C34" s="50" t="inlineStr">
        <is>
          <t>'가공' 이면서 검사수량 500 이상인 줄의 평균 불량수를 소수 둘째 자리까지.</t>
        </is>
      </c>
      <c r="D34" s="51" t="inlineStr">
        <is>
          <t>=ROUND(AVERAGEIFS(F5:F34,C5:C34,"가공",E5:E34,"&gt;=500"),2)</t>
        </is>
      </c>
      <c r="E34" s="52">
        <f>'품질검사'!AB67</f>
        <v/>
      </c>
      <c r="F34" s="50" t="inlineStr">
        <is>
          <t>AVERAGEIFS 는 '평균 낼 범위' 가 맨 앞에 옵니다 — AVERAGEIF 와 순서가 다릅니다</t>
        </is>
      </c>
    </row>
    <row r="35" ht="30" customHeight="1">
      <c r="A35" s="19" t="n">
        <v>23</v>
      </c>
      <c r="B35" s="46" t="inlineStr">
        <is>
          <t>품질검사 F68</t>
        </is>
      </c>
      <c r="C35" s="42" t="inlineStr">
        <is>
          <t>측정값[G5:G34] 중 규격(49.95~50.05)을 벗어난 건수.</t>
        </is>
      </c>
      <c r="D35" s="47" t="inlineStr">
        <is>
          <t>=COUNTIF(G5:G34,"&gt;50.05")+COUNTIF(G5:G34,"&lt;49.95")</t>
        </is>
      </c>
      <c r="E35" s="44">
        <f>'품질검사'!AB68</f>
        <v/>
      </c>
      <c r="F35" s="42" t="inlineStr">
        <is>
          <t>배열로는 =SUM((G5:G34&gt;50.05)+(G5:G34&lt;49.95))</t>
        </is>
      </c>
    </row>
    <row r="36" ht="30" customHeight="1">
      <c r="A36" s="48" t="n">
        <v>24</v>
      </c>
      <c r="B36" s="49" t="inlineStr">
        <is>
          <t>품질검사 F70</t>
        </is>
      </c>
      <c r="C36" s="50" t="inlineStr">
        <is>
          <t>로트번호[B5] 의 5번째부터 2글자. (검사한 달)</t>
        </is>
      </c>
      <c r="D36" s="51" t="inlineStr">
        <is>
          <t>=MID(B5,5,2)</t>
        </is>
      </c>
      <c r="E36" s="52">
        <f>'품질검사'!AB70</f>
        <v/>
      </c>
      <c r="F36" s="50" t="inlineStr">
        <is>
          <t>L26-0302-A → L(1) 2(2) 6(3) -(4) 0(5) 3(6) 이므로 5번째부터 2글자 = 03</t>
        </is>
      </c>
    </row>
    <row r="37" ht="30" customHeight="1">
      <c r="A37" s="19" t="n">
        <v>25</v>
      </c>
      <c r="B37" s="46" t="inlineStr">
        <is>
          <t>품질검사 F71</t>
        </is>
      </c>
      <c r="C37" s="42" t="inlineStr">
        <is>
          <t>로트번호[B5] 의 맨 끝 한 글자. (라인 A/B/C)</t>
        </is>
      </c>
      <c r="D37" s="47" t="inlineStr">
        <is>
          <t>=RIGHT(B5,1)</t>
        </is>
      </c>
      <c r="E37" s="44">
        <f>'품질검사'!AB71</f>
        <v/>
      </c>
      <c r="F37" s="42" t="inlineStr"/>
    </row>
    <row r="38" ht="30" customHeight="1">
      <c r="A38" s="48" t="n">
        <v>26</v>
      </c>
      <c r="B38" s="49" t="inlineStr">
        <is>
          <t>품질검사 F72</t>
        </is>
      </c>
      <c r="C38" s="50" t="inlineStr">
        <is>
          <t>로트번호[B5] 에서 붙임표(-) 가 처음 나오는 자리.</t>
        </is>
      </c>
      <c r="D38" s="51" t="inlineStr">
        <is>
          <t>=FIND("-",B5)</t>
        </is>
      </c>
      <c r="E38" s="52">
        <f>'품질검사'!AB72</f>
        <v/>
      </c>
      <c r="F38" s="50" t="inlineStr">
        <is>
          <t>FIND 는 대소문자를 가리고, SEARCH 는 안 가립니다</t>
        </is>
      </c>
    </row>
    <row r="39" ht="30" customHeight="1">
      <c r="A39" s="19" t="n">
        <v>27</v>
      </c>
      <c r="B39" s="46" t="inlineStr">
        <is>
          <t>품질검사 F73</t>
        </is>
      </c>
      <c r="C39" s="42" t="inlineStr">
        <is>
          <t>로트번호[B5] 의 글자 수.</t>
        </is>
      </c>
      <c r="D39" s="47" t="inlineStr">
        <is>
          <t>=LEN(B5)</t>
        </is>
      </c>
      <c r="E39" s="44">
        <f>'품질검사'!AB73</f>
        <v/>
      </c>
      <c r="F39" s="42" t="inlineStr"/>
    </row>
    <row r="40" ht="30" customHeight="1">
      <c r="A40" s="48" t="n">
        <v>28</v>
      </c>
      <c r="B40" s="49" t="inlineStr">
        <is>
          <t>품질검사 F74</t>
        </is>
      </c>
      <c r="C40" s="50" t="inlineStr">
        <is>
          <t>공정[C5] 과 작업자[D5] 를  가공-김현수  처럼 이어 붙이시오.</t>
        </is>
      </c>
      <c r="D40" s="51" t="inlineStr">
        <is>
          <t>=C5&amp;"-"&amp;D5</t>
        </is>
      </c>
      <c r="E40" s="52">
        <f>'품질검사'!AB74</f>
        <v/>
      </c>
      <c r="F40" s="50" t="inlineStr"/>
    </row>
    <row r="41" ht="30" customHeight="1">
      <c r="A41" s="19" t="n">
        <v>29</v>
      </c>
      <c r="B41" s="46" t="inlineStr">
        <is>
          <t>품질검사 F75</t>
        </is>
      </c>
      <c r="C41" s="42" t="inlineStr">
        <is>
          <t>로트번호[B5] 앞 3글자를 소문자로.</t>
        </is>
      </c>
      <c r="D41" s="47" t="inlineStr">
        <is>
          <t>=LOWER(LEFT(B5,3))</t>
        </is>
      </c>
      <c r="E41" s="44">
        <f>'품질검사'!AB75</f>
        <v/>
      </c>
      <c r="F41" s="42" t="inlineStr"/>
    </row>
    <row r="42" ht="30" customHeight="1">
      <c r="A42" s="48" t="n">
        <v>30</v>
      </c>
      <c r="B42" s="49" t="inlineStr">
        <is>
          <t>품질검사 F77</t>
        </is>
      </c>
      <c r="C42" s="50" t="inlineStr">
        <is>
          <t>검사일[A5] 이 몇 분기인가. (1~4)</t>
        </is>
      </c>
      <c r="D42" s="51" t="inlineStr">
        <is>
          <t>=ROUNDUP(MONTH(A5)/3,0)</t>
        </is>
      </c>
      <c r="E42" s="52">
        <f>'품질검사'!AB77</f>
        <v/>
      </c>
      <c r="F42" s="50" t="inlineStr">
        <is>
          <t>=CHOOSE(MONTH(A5),1,1,1,2,2,2,3,3,3,4,4,4) 로도 됩니다</t>
        </is>
      </c>
    </row>
    <row r="43" ht="30" customHeight="1">
      <c r="A43" s="19" t="n">
        <v>31</v>
      </c>
      <c r="B43" s="46" t="inlineStr">
        <is>
          <t>품질검사 F78</t>
        </is>
      </c>
      <c r="C43" s="42" t="inlineStr">
        <is>
          <t>첫 검사일[A5] 부터 마지막 검사일[A34] 까지 며칠인가.</t>
        </is>
      </c>
      <c r="D43" s="47" t="inlineStr">
        <is>
          <t>=DAYS(A34,A5)</t>
        </is>
      </c>
      <c r="E43" s="44">
        <f>'품질검사'!AB78</f>
        <v/>
      </c>
      <c r="F43" s="42" t="inlineStr">
        <is>
          <t>=A34-A5 로도 됩니다</t>
        </is>
      </c>
    </row>
    <row r="44" ht="30" customHeight="1">
      <c r="A44" s="48" t="n">
        <v>32</v>
      </c>
      <c r="B44" s="49" t="inlineStr">
        <is>
          <t>품질검사 F79</t>
        </is>
      </c>
      <c r="C44" s="50" t="inlineStr">
        <is>
          <t>검사일[A5] 의 요일 번호. (월요일이 1)</t>
        </is>
      </c>
      <c r="D44" s="51" t="inlineStr">
        <is>
          <t>=WEEKDAY(A5,2)</t>
        </is>
      </c>
      <c r="E44" s="52">
        <f>'품질검사'!AB79</f>
        <v/>
      </c>
      <c r="F44" s="50" t="inlineStr"/>
    </row>
    <row r="45" ht="30" customHeight="1">
      <c r="A45" s="19" t="n">
        <v>33</v>
      </c>
      <c r="B45" s="46" t="inlineStr">
        <is>
          <t>품질검사 F80</t>
        </is>
      </c>
      <c r="C45" s="42" t="inlineStr">
        <is>
          <t>측정값[G5] 을 소수 첫째 자리까지 반올림.</t>
        </is>
      </c>
      <c r="D45" s="47" t="inlineStr">
        <is>
          <t>=ROUND(G5,1)</t>
        </is>
      </c>
      <c r="E45" s="44">
        <f>'품질검사'!AB80</f>
        <v/>
      </c>
      <c r="F45" s="42" t="inlineStr"/>
    </row>
    <row r="46" ht="30" customHeight="1">
      <c r="A46" s="48" t="n">
        <v>34</v>
      </c>
      <c r="B46" s="49" t="inlineStr">
        <is>
          <t>품질검사 F81</t>
        </is>
      </c>
      <c r="C46" s="50" t="inlineStr">
        <is>
          <t>전체 검사수량 합계를 100 으로 나눈 나머지.</t>
        </is>
      </c>
      <c r="D46" s="51" t="inlineStr">
        <is>
          <t>=MOD(SUM(E5:E34),100)</t>
        </is>
      </c>
      <c r="E46" s="52">
        <f>'품질검사'!AB81</f>
        <v/>
      </c>
      <c r="F46" s="50" t="inlineStr"/>
    </row>
    <row r="48" ht="22" customHeight="1">
      <c r="A48" s="45" t="inlineStr">
        <is>
          <t xml:space="preserve">  데이터베이스 함수 10문제</t>
        </is>
      </c>
    </row>
    <row r="49" ht="24" customHeight="1">
      <c r="A49" s="16" t="inlineStr">
        <is>
          <t>번호</t>
        </is>
      </c>
      <c r="B49" s="16" t="inlineStr">
        <is>
          <t>넣을 칸</t>
        </is>
      </c>
      <c r="C49" s="16" t="inlineStr">
        <is>
          <t>무엇을 구하나</t>
        </is>
      </c>
      <c r="D49" s="16" t="inlineStr">
        <is>
          <t>정답 수식</t>
        </is>
      </c>
      <c r="E49" s="16" t="inlineStr">
        <is>
          <t>정답값</t>
        </is>
      </c>
      <c r="F49" s="16" t="inlineStr">
        <is>
          <t>왜 그런가 · 자주 하는 실수</t>
        </is>
      </c>
    </row>
    <row r="50" ht="30" customHeight="1">
      <c r="A50" s="19" t="n">
        <v>1</v>
      </c>
      <c r="B50" s="46" t="inlineStr">
        <is>
          <t>DB조건 F33</t>
        </is>
      </c>
      <c r="C50" s="42" t="inlineStr">
        <is>
          <t>'가공' 공정의 불량수 합계.  (조건 표 ① A5:A6)</t>
        </is>
      </c>
      <c r="D50" s="47" t="inlineStr">
        <is>
          <t>=DSUM(품질검사!$A$4:$K$34,"불량수",A5:A6)</t>
        </is>
      </c>
      <c r="E50" s="44">
        <f>'DB조건'!AB33</f>
        <v/>
      </c>
      <c r="F50" s="42" t="inlineStr">
        <is>
          <t>전체 표는 머리글 줄(4행)부터 잡습니다</t>
        </is>
      </c>
    </row>
    <row r="51" ht="30" customHeight="1">
      <c r="A51" s="48" t="n">
        <v>2</v>
      </c>
      <c r="B51" s="49" t="inlineStr">
        <is>
          <t>DB조건 F34</t>
        </is>
      </c>
      <c r="C51" s="50" t="inlineStr">
        <is>
          <t>'가공' 공정의 평균 검사수량.  (조건 표 ①)</t>
        </is>
      </c>
      <c r="D51" s="51" t="inlineStr">
        <is>
          <t>=DAVERAGE(품질검사!$A$4:$K$34,"검사수량",A5:A6)</t>
        </is>
      </c>
      <c r="E51" s="52">
        <f>'DB조건'!AB34</f>
        <v/>
      </c>
      <c r="F51" s="50" t="inlineStr"/>
    </row>
    <row r="52" ht="30" customHeight="1">
      <c r="A52" s="19" t="n">
        <v>3</v>
      </c>
      <c r="B52" s="46" t="inlineStr">
        <is>
          <t>DB조건 F35</t>
        </is>
      </c>
      <c r="C52" s="42" t="inlineStr">
        <is>
          <t>'가공' 공정의 최대 측정값.  (조건 표 ①)</t>
        </is>
      </c>
      <c r="D52" s="47" t="inlineStr">
        <is>
          <t>=DMAX(품질검사!$A$4:$K$34,"측정값(mm)",A5:A6)</t>
        </is>
      </c>
      <c r="E52" s="44">
        <f>'DB조건'!AB35</f>
        <v/>
      </c>
      <c r="F52" s="42" t="inlineStr">
        <is>
          <t>필드 이름은 머리글과 글자·괄호까지 똑같아야 합니다</t>
        </is>
      </c>
    </row>
    <row r="53" ht="30" customHeight="1">
      <c r="A53" s="48" t="n">
        <v>4</v>
      </c>
      <c r="B53" s="49" t="inlineStr">
        <is>
          <t>DB조건 F36</t>
        </is>
      </c>
      <c r="C53" s="50" t="inlineStr">
        <is>
          <t>불량수가 15 이상인 건수.  (조건 표 ② A9:A10)</t>
        </is>
      </c>
      <c r="D53" s="51" t="inlineStr">
        <is>
          <t>=DCOUNT(품질검사!$A$4:$K$34,"불량수",A9:A10)</t>
        </is>
      </c>
      <c r="E53" s="52">
        <f>'DB조건'!AB36</f>
        <v/>
      </c>
      <c r="F53" s="50" t="inlineStr">
        <is>
          <t>글자 필드를 세려면 DCOUNTA</t>
        </is>
      </c>
    </row>
    <row r="54" ht="30" customHeight="1">
      <c r="A54" s="19" t="n">
        <v>5</v>
      </c>
      <c r="B54" s="46" t="inlineStr">
        <is>
          <t>DB조건 F37</t>
        </is>
      </c>
      <c r="C54" s="42" t="inlineStr">
        <is>
          <t>불량수가 15 이상인 줄 중 가장 적은 검사수량.  (조건 표 ②)</t>
        </is>
      </c>
      <c r="D54" s="47" t="inlineStr">
        <is>
          <t>=DMIN(품질검사!$A$4:$K$34,"검사수량",A9:A10)</t>
        </is>
      </c>
      <c r="E54" s="44">
        <f>'DB조건'!AB37</f>
        <v/>
      </c>
      <c r="F54" s="42" t="inlineStr"/>
    </row>
    <row r="55" ht="30" customHeight="1">
      <c r="A55" s="48" t="n">
        <v>6</v>
      </c>
      <c r="B55" s="49" t="inlineStr">
        <is>
          <t>DB조건 F39</t>
        </is>
      </c>
      <c r="C55" s="50" t="inlineStr">
        <is>
          <t>'조립' 이면서 검사수량 330 이상인 줄의 최대 불량수.  (조건 표 ③ A13:B14)</t>
        </is>
      </c>
      <c r="D55" s="51" t="inlineStr">
        <is>
          <t>=DMAX(품질검사!$A$4:$K$34,"불량수",A13:B14)</t>
        </is>
      </c>
      <c r="E55" s="52">
        <f>'DB조건'!AB39</f>
        <v/>
      </c>
      <c r="F55" s="50" t="inlineStr"/>
    </row>
    <row r="56" ht="30" customHeight="1">
      <c r="A56" s="19" t="n">
        <v>7</v>
      </c>
      <c r="B56" s="46" t="inlineStr">
        <is>
          <t>DB조건 F40</t>
        </is>
      </c>
      <c r="C56" s="42" t="inlineStr">
        <is>
          <t>'조립' 이면서 검사수량 330 이상인 줄의 최소 측정값.  (조건 표 ③)</t>
        </is>
      </c>
      <c r="D56" s="47" t="inlineStr">
        <is>
          <t>=DMIN(품질검사!$A$4:$K$34,"측정값(mm)",A13:B14)</t>
        </is>
      </c>
      <c r="E56" s="44">
        <f>'DB조건'!AB40</f>
        <v/>
      </c>
      <c r="F56" s="42" t="inlineStr"/>
    </row>
    <row r="57" ht="30" customHeight="1">
      <c r="A57" s="48" t="n">
        <v>8</v>
      </c>
      <c r="B57" s="49" t="inlineStr">
        <is>
          <t>DB조건 F41</t>
        </is>
      </c>
      <c r="C57" s="50" t="inlineStr">
        <is>
          <t>'가공' 또는 '포장' 인 줄의 검사수량 합계.  (조건 표 ④ A17:A19)</t>
        </is>
      </c>
      <c r="D57" s="51" t="inlineStr">
        <is>
          <t>=DSUM(품질검사!$A$4:$K$34,"검사수량",A17:A19)</t>
        </is>
      </c>
      <c r="E57" s="52">
        <f>'DB조건'!AB41</f>
        <v/>
      </c>
      <c r="F57" s="50" t="inlineStr"/>
    </row>
    <row r="58" ht="30" customHeight="1">
      <c r="A58" s="19" t="n">
        <v>9</v>
      </c>
      <c r="B58" s="46" t="inlineStr">
        <is>
          <t>DB조건 F42</t>
        </is>
      </c>
      <c r="C58" s="42" t="inlineStr">
        <is>
          <t>작업자가 '김현수' 인 줄의 평균 불량수.  (조건 표 ⑤ A22:A23)</t>
        </is>
      </c>
      <c r="D58" s="47" t="inlineStr">
        <is>
          <t>=DAVERAGE(품질검사!$A$4:$K$34,"불량수",A22:A23)</t>
        </is>
      </c>
      <c r="E58" s="44">
        <f>'DB조건'!AB42</f>
        <v/>
      </c>
      <c r="F58" s="42" t="inlineStr"/>
    </row>
    <row r="59" ht="30" customHeight="1">
      <c r="A59" s="48" t="n">
        <v>10</v>
      </c>
      <c r="B59" s="49" t="inlineStr">
        <is>
          <t>DB조건 F43</t>
        </is>
      </c>
      <c r="C59" s="50" t="inlineStr">
        <is>
          <t>작업자가 '김현수' 인 줄의 건수를 글자 필드로 세시오.  (조건 표 ⑤)</t>
        </is>
      </c>
      <c r="D59" s="51" t="inlineStr">
        <is>
          <t>=DCOUNTA(품질검사!$A$4:$K$34,"로트번호",A22:A23)</t>
        </is>
      </c>
      <c r="E59" s="52">
        <f>'DB조건'!AB43</f>
        <v/>
      </c>
      <c r="F59" s="50" t="inlineStr">
        <is>
          <t>DCOUNT 로 글자 필드를 세면 0 이 나옵니다</t>
        </is>
      </c>
    </row>
  </sheetData>
  <mergeCells count="5">
    <mergeCell ref="A2:F2"/>
    <mergeCell ref="A11:F11"/>
    <mergeCell ref="A1:F1"/>
    <mergeCell ref="A4:F4"/>
    <mergeCell ref="A48:F48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2026-09-21T03:28:40Z</dcterms:created>
  <dcterms:modified xmlns:dcterms="http://purl.org/dc/terms/" xmlns:xsi="http://www.w3.org/2001/XMLSchema-instance" xsi:type="dcterms:W3CDTF">2026-09-21T03:28:40Z</dcterms:modified>
</cp:coreProperties>
</file>