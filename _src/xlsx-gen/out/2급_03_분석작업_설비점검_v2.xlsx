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점검이력" sheetId="2" state="visible" r:id="rId2"/>
    <sheet xmlns:r="http://schemas.openxmlformats.org/officeDocument/2006/relationships" name="원가모형" sheetId="3" state="visible" r:id="rId3"/>
    <sheet xmlns:r="http://schemas.openxmlformats.org/officeDocument/2006/relationships" name="미션" sheetId="4" state="visible" r:id="rId4"/>
    <sheet xmlns:r="http://schemas.openxmlformats.org/officeDocument/2006/relationships" name="따라하기" sheetId="5" state="visible" r:id="rId5"/>
    <sheet xmlns:r="http://schemas.openxmlformats.org/officeDocument/2006/relationships" name="계산 문제 정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25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  <sz val="11"/>
    </font>
    <font>
      <b val="1"/>
      <color rgb="001F3864"/>
      <sz val="14"/>
    </font>
    <font>
      <b val="1"/>
      <color rgb="002E5C8A"/>
      <sz val="10.5"/>
    </font>
    <font>
      <sz val="10.5"/>
    </font>
    <font>
      <i val="1"/>
      <color rgb="00A6A6A6"/>
    </font>
    <font>
      <b val="1"/>
      <sz val="10"/>
    </font>
    <font>
      <color rgb="007F7F7F"/>
      <sz val="10"/>
    </font>
    <font>
      <b val="1"/>
    </font>
    <font>
      <b val="1"/>
      <color rgb="00C55A11"/>
      <sz val="10.5"/>
    </font>
    <font>
      <sz val="13"/>
    </font>
    <font>
      <b val="1"/>
      <color rgb="00FFFFFF"/>
      <sz val="12"/>
    </font>
    <font>
      <b val="1"/>
      <color rgb="00C55A11"/>
      <sz val="10"/>
    </font>
    <font>
      <b val="1"/>
      <color rgb="002E5C8A"/>
      <sz val="10"/>
    </font>
    <font>
      <b val="1"/>
      <color rgb="00006100"/>
      <sz val="10"/>
    </font>
    <font>
      <color rgb="00006100"/>
      <sz val="10.5"/>
    </font>
    <font>
      <b val="1"/>
      <color rgb="00FFFFFF"/>
      <sz val="11.5"/>
    </font>
    <font>
      <b val="1"/>
      <color rgb="00C55A11"/>
    </font>
    <font>
      <sz val="10"/>
    </font>
    <font>
      <name val="Consolas"/>
      <b val="1"/>
      <color rgb="001F4E79"/>
      <sz val="10"/>
    </font>
    <font>
      <b val="1"/>
      <color rgb="00006100"/>
    </font>
  </fonts>
  <fills count="10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7B4FBF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EBF7EE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0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0" borderId="1" pivotButton="0" quotePrefix="0" xfId="0"/>
    <xf numFmtId="3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vertical="center"/>
    </xf>
    <xf numFmtId="3" fontId="12" fillId="6" borderId="1" applyAlignment="1" pivotButton="0" quotePrefix="0" xfId="0">
      <alignment vertical="center"/>
    </xf>
    <xf numFmtId="166" fontId="12" fillId="6" borderId="1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3" fontId="12" fillId="7" borderId="1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pivotButton="0" quotePrefix="0" xfId="0"/>
    <xf numFmtId="0" fontId="0" fillId="0" borderId="1" applyAlignment="1" pivotButton="0" quotePrefix="0" xfId="0">
      <alignment vertical="center" wrapText="1"/>
    </xf>
    <xf numFmtId="0" fontId="14" fillId="5" borderId="1" applyAlignment="1" pivotButton="0" quotePrefix="0" xfId="0">
      <alignment horizontal="center" vertical="center"/>
    </xf>
    <xf numFmtId="0" fontId="15" fillId="3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8" borderId="0" applyAlignment="1" pivotButton="0" quotePrefix="0" xfId="0">
      <alignment vertical="center" wrapText="1"/>
    </xf>
    <xf numFmtId="0" fontId="20" fillId="9" borderId="0" applyAlignment="1" pivotButton="0" quotePrefix="0" xfId="0">
      <alignment vertical="center"/>
    </xf>
    <xf numFmtId="0" fontId="21" fillId="0" borderId="1" applyAlignment="1" pivotButton="0" quotePrefix="0" xfId="0">
      <alignment horizontal="center" vertical="center"/>
    </xf>
    <xf numFmtId="0" fontId="22" fillId="0" borderId="1" applyAlignment="1" pivotButton="0" quotePrefix="0" xfId="0">
      <alignment vertical="center" wrapText="1"/>
    </xf>
    <xf numFmtId="0" fontId="23" fillId="0" borderId="1" applyAlignment="1" pivotButton="0" quotePrefix="0" xfId="0">
      <alignment vertical="center" wrapText="1"/>
    </xf>
    <xf numFmtId="0" fontId="24" fillId="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center" vertical="center"/>
    </xf>
    <xf numFmtId="0" fontId="22" fillId="7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4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2급 실기 ③ 분석작업 — 설비 점검 이력</t>
        </is>
      </c>
    </row>
    <row r="3" ht="19" customHeight="1">
      <c r="B3" s="2" t="inlineStr"/>
    </row>
    <row r="4" ht="19" customHeight="1">
      <c r="B4" s="2" t="inlineStr">
        <is>
          <t>부분합 · 피벗 테이블 · 목표값 찾기 · 시나리오 · 정렬 · 통합 을 연습합니다. 자료는 60건입니다.</t>
        </is>
      </c>
    </row>
    <row r="5" ht="19" customHeight="1">
      <c r="B5" s="2" t="inlineStr"/>
    </row>
    <row r="6" ht="24" customHeight="1">
      <c r="B6" s="3" t="inlineStr">
        <is>
          <t>시트 안내</t>
        </is>
      </c>
    </row>
    <row r="7" ht="19" customHeight="1">
      <c r="B7" s="2" t="inlineStr">
        <is>
          <t>점검이력   — 60건의 설비 점검 기록 (부분합·피벗·정렬용) + 계산 문제 6개</t>
        </is>
      </c>
    </row>
    <row r="8" ht="19" customHeight="1">
      <c r="B8" s="2" t="inlineStr">
        <is>
          <t>원가모형   — 목표값 찾기와 시나리오를 걸어 볼 작은 계산 모형</t>
        </is>
      </c>
    </row>
    <row r="9" ht="19" customHeight="1">
      <c r="B9" s="2" t="inlineStr">
        <is>
          <t>미션       — 해야 할 일 12가지 체크리스트</t>
        </is>
      </c>
    </row>
    <row r="10" ht="19" customHeight="1">
      <c r="B10" s="2" t="inlineStr">
        <is>
          <t>따라하기   — 12가지를 1단계·2단계… 로 풀어 쓴 것 (이것이 정답입니다)</t>
        </is>
      </c>
    </row>
    <row r="11" ht="19" customHeight="1">
      <c r="B11" s="2" t="inlineStr"/>
    </row>
    <row r="12" ht="24" customHeight="1">
      <c r="B12" s="3" t="inlineStr">
        <is>
          <t>꼭 기억할 것</t>
        </is>
      </c>
    </row>
    <row r="13" ht="19" customHeight="1">
      <c r="B13" s="2" t="inlineStr">
        <is>
          <t>부분합은 반드시 '그 기준으로 먼저 정렬' 한 다음에 넣습니다. 정렬을 안 하면 같은 공정이 흩어집니다.</t>
        </is>
      </c>
    </row>
    <row r="14" ht="19" customHeight="1">
      <c r="B14" s="2" t="inlineStr">
        <is>
          <t>피벗 테이블은 원본 표 안에 셀 하나만 클릭해 두고 삽입 → 피벗 테이블.</t>
        </is>
      </c>
    </row>
    <row r="15" ht="34" customHeight="1">
      <c r="B15" s="4" t="inlineStr">
        <is>
          <t>목표값 찾기는 '답을 정해 놓고 입력값을 거꾸로 찾는' 기능입니다. 값을 바꿀 셀은 반드시 숫자가 든 칸이어야 합니다.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3:AB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10" customWidth="1" min="5" max="5"/>
    <col width="11" customWidth="1" min="6" max="6"/>
    <col width="13" customWidth="1" min="7" max="7"/>
    <col width="13" customWidth="1" min="8" max="8"/>
    <col width="11" customWidth="1" min="9" max="9"/>
    <col width="11" customWidth="1" min="10" max="10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</cols>
  <sheetData>
    <row r="3" ht="24" customHeight="1">
      <c r="A3" s="5" t="inlineStr">
        <is>
          <t>점검일</t>
        </is>
      </c>
      <c r="B3" s="5" t="inlineStr">
        <is>
          <t>설비명</t>
        </is>
      </c>
      <c r="C3" s="5" t="inlineStr">
        <is>
          <t>공정</t>
        </is>
      </c>
      <c r="D3" s="5" t="inlineStr">
        <is>
          <t>점검구분</t>
        </is>
      </c>
      <c r="E3" s="5" t="inlineStr">
        <is>
          <t>점검자</t>
        </is>
      </c>
      <c r="F3" s="5" t="inlineStr">
        <is>
          <t>이상건수</t>
        </is>
      </c>
      <c r="G3" s="5" t="inlineStr">
        <is>
          <t>수리비용</t>
        </is>
      </c>
      <c r="H3" s="5" t="inlineStr">
        <is>
          <t>정지시간(분)</t>
        </is>
      </c>
    </row>
    <row r="4">
      <c r="A4" s="6" t="n">
        <v>46083</v>
      </c>
      <c r="B4" s="7" t="inlineStr">
        <is>
          <t>CNC-01</t>
        </is>
      </c>
      <c r="C4" s="7" t="inlineStr">
        <is>
          <t>가공</t>
        </is>
      </c>
      <c r="D4" s="7" t="inlineStr">
        <is>
          <t>정기</t>
        </is>
      </c>
      <c r="E4" s="7" t="inlineStr">
        <is>
          <t>김현수</t>
        </is>
      </c>
      <c r="F4" s="8" t="n">
        <v>1</v>
      </c>
      <c r="G4" s="9" t="n">
        <v>35000</v>
      </c>
      <c r="H4" s="8" t="n">
        <v>25</v>
      </c>
    </row>
    <row r="5">
      <c r="A5" s="6" t="n">
        <v>46083</v>
      </c>
      <c r="B5" s="7" t="inlineStr">
        <is>
          <t>CNC-02</t>
        </is>
      </c>
      <c r="C5" s="7" t="inlineStr">
        <is>
          <t>가공</t>
        </is>
      </c>
      <c r="D5" s="7" t="inlineStr">
        <is>
          <t>정기</t>
        </is>
      </c>
      <c r="E5" s="7" t="inlineStr">
        <is>
          <t>박지훈</t>
        </is>
      </c>
      <c r="F5" s="8" t="n">
        <v>0</v>
      </c>
      <c r="G5" s="9" t="n">
        <v>0</v>
      </c>
      <c r="H5" s="8" t="n">
        <v>0</v>
      </c>
    </row>
    <row r="6">
      <c r="A6" s="6" t="n">
        <v>46084</v>
      </c>
      <c r="B6" s="7" t="inlineStr">
        <is>
          <t>MCT-01</t>
        </is>
      </c>
      <c r="C6" s="7" t="inlineStr">
        <is>
          <t>가공</t>
        </is>
      </c>
      <c r="D6" s="7" t="inlineStr">
        <is>
          <t>수시</t>
        </is>
      </c>
      <c r="E6" s="7" t="inlineStr">
        <is>
          <t>이서연</t>
        </is>
      </c>
      <c r="F6" s="8" t="n">
        <v>0</v>
      </c>
      <c r="G6" s="9" t="n">
        <v>0</v>
      </c>
      <c r="H6" s="8" t="n">
        <v>0</v>
      </c>
    </row>
    <row r="7">
      <c r="A7" s="6" t="n">
        <v>46084</v>
      </c>
      <c r="B7" s="7" t="inlineStr">
        <is>
          <t>ROB-01</t>
        </is>
      </c>
      <c r="C7" s="7" t="inlineStr">
        <is>
          <t>조립</t>
        </is>
      </c>
      <c r="D7" s="7" t="inlineStr">
        <is>
          <t>정기</t>
        </is>
      </c>
      <c r="E7" s="7" t="inlineStr">
        <is>
          <t>최민재</t>
        </is>
      </c>
      <c r="F7" s="8" t="n">
        <v>1</v>
      </c>
      <c r="G7" s="9" t="n">
        <v>120000</v>
      </c>
      <c r="H7" s="8" t="n">
        <v>40</v>
      </c>
    </row>
    <row r="8">
      <c r="A8" s="6" t="n">
        <v>46085</v>
      </c>
      <c r="B8" s="7" t="inlineStr">
        <is>
          <t>ROB-02</t>
        </is>
      </c>
      <c r="C8" s="7" t="inlineStr">
        <is>
          <t>조립</t>
        </is>
      </c>
      <c r="D8" s="7" t="inlineStr">
        <is>
          <t>정기</t>
        </is>
      </c>
      <c r="E8" s="7" t="inlineStr">
        <is>
          <t>김현수</t>
        </is>
      </c>
      <c r="F8" s="8" t="n">
        <v>1</v>
      </c>
      <c r="G8" s="9" t="n">
        <v>62000</v>
      </c>
      <c r="H8" s="8" t="n">
        <v>40</v>
      </c>
    </row>
    <row r="9">
      <c r="A9" s="6" t="n">
        <v>46085</v>
      </c>
      <c r="B9" s="7" t="inlineStr">
        <is>
          <t>CNV-01</t>
        </is>
      </c>
      <c r="C9" s="7" t="inlineStr">
        <is>
          <t>조립</t>
        </is>
      </c>
      <c r="D9" s="7" t="inlineStr">
        <is>
          <t>수시</t>
        </is>
      </c>
      <c r="E9" s="7" t="inlineStr">
        <is>
          <t>박지훈</t>
        </is>
      </c>
      <c r="F9" s="8" t="n">
        <v>0</v>
      </c>
      <c r="G9" s="9" t="n">
        <v>0</v>
      </c>
      <c r="H9" s="8" t="n">
        <v>0</v>
      </c>
    </row>
    <row r="10">
      <c r="A10" s="6" t="n">
        <v>46086</v>
      </c>
      <c r="B10" s="7" t="inlineStr">
        <is>
          <t>VIS-01</t>
        </is>
      </c>
      <c r="C10" s="7" t="inlineStr">
        <is>
          <t>검사</t>
        </is>
      </c>
      <c r="D10" s="7" t="inlineStr">
        <is>
          <t>정기</t>
        </is>
      </c>
      <c r="E10" s="7" t="inlineStr">
        <is>
          <t>이서연</t>
        </is>
      </c>
      <c r="F10" s="8" t="n">
        <v>3</v>
      </c>
      <c r="G10" s="9" t="n">
        <v>186000</v>
      </c>
      <c r="H10" s="8" t="n">
        <v>45</v>
      </c>
    </row>
    <row r="11">
      <c r="A11" s="6" t="n">
        <v>46086</v>
      </c>
      <c r="B11" s="7" t="inlineStr">
        <is>
          <t>VIS-02</t>
        </is>
      </c>
      <c r="C11" s="7" t="inlineStr">
        <is>
          <t>검사</t>
        </is>
      </c>
      <c r="D11" s="7" t="inlineStr">
        <is>
          <t>정기</t>
        </is>
      </c>
      <c r="E11" s="7" t="inlineStr">
        <is>
          <t>최민재</t>
        </is>
      </c>
      <c r="F11" s="8" t="n">
        <v>4</v>
      </c>
      <c r="G11" s="9" t="n">
        <v>192000</v>
      </c>
      <c r="H11" s="8" t="n">
        <v>60</v>
      </c>
    </row>
    <row r="12">
      <c r="A12" s="6" t="n">
        <v>46087</v>
      </c>
      <c r="B12" s="7" t="inlineStr">
        <is>
          <t>PKG-01</t>
        </is>
      </c>
      <c r="C12" s="7" t="inlineStr">
        <is>
          <t>포장</t>
        </is>
      </c>
      <c r="D12" s="7" t="inlineStr">
        <is>
          <t>수시</t>
        </is>
      </c>
      <c r="E12" s="7" t="inlineStr">
        <is>
          <t>김현수</t>
        </is>
      </c>
      <c r="F12" s="8" t="n">
        <v>1</v>
      </c>
      <c r="G12" s="9" t="n">
        <v>120000</v>
      </c>
      <c r="H12" s="8" t="n">
        <v>40</v>
      </c>
    </row>
    <row r="13">
      <c r="A13" s="6" t="n">
        <v>46087</v>
      </c>
      <c r="B13" s="7" t="inlineStr">
        <is>
          <t>PKG-02</t>
        </is>
      </c>
      <c r="C13" s="7" t="inlineStr">
        <is>
          <t>포장</t>
        </is>
      </c>
      <c r="D13" s="7" t="inlineStr">
        <is>
          <t>정기</t>
        </is>
      </c>
      <c r="E13" s="7" t="inlineStr">
        <is>
          <t>박지훈</t>
        </is>
      </c>
      <c r="F13" s="8" t="n">
        <v>5</v>
      </c>
      <c r="G13" s="9" t="n">
        <v>240000</v>
      </c>
      <c r="H13" s="8" t="n">
        <v>75</v>
      </c>
    </row>
    <row r="14">
      <c r="A14" s="6" t="n">
        <v>46088</v>
      </c>
      <c r="B14" s="7" t="inlineStr">
        <is>
          <t>CNC-01</t>
        </is>
      </c>
      <c r="C14" s="7" t="inlineStr">
        <is>
          <t>가공</t>
        </is>
      </c>
      <c r="D14" s="7" t="inlineStr">
        <is>
          <t>정기</t>
        </is>
      </c>
      <c r="E14" s="7" t="inlineStr">
        <is>
          <t>이서연</t>
        </is>
      </c>
      <c r="F14" s="8" t="n">
        <v>4</v>
      </c>
      <c r="G14" s="9" t="n">
        <v>140000</v>
      </c>
      <c r="H14" s="8" t="n">
        <v>160</v>
      </c>
    </row>
    <row r="15">
      <c r="A15" s="6" t="n">
        <v>46088</v>
      </c>
      <c r="B15" s="7" t="inlineStr">
        <is>
          <t>CNC-02</t>
        </is>
      </c>
      <c r="C15" s="7" t="inlineStr">
        <is>
          <t>가공</t>
        </is>
      </c>
      <c r="D15" s="7" t="inlineStr">
        <is>
          <t>수시</t>
        </is>
      </c>
      <c r="E15" s="7" t="inlineStr">
        <is>
          <t>최민재</t>
        </is>
      </c>
      <c r="F15" s="8" t="n">
        <v>1</v>
      </c>
      <c r="G15" s="9" t="n">
        <v>120000</v>
      </c>
      <c r="H15" s="8" t="n">
        <v>60</v>
      </c>
    </row>
    <row r="16">
      <c r="A16" s="6" t="n">
        <v>46089</v>
      </c>
      <c r="B16" s="7" t="inlineStr">
        <is>
          <t>MCT-01</t>
        </is>
      </c>
      <c r="C16" s="7" t="inlineStr">
        <is>
          <t>가공</t>
        </is>
      </c>
      <c r="D16" s="7" t="inlineStr">
        <is>
          <t>정기</t>
        </is>
      </c>
      <c r="E16" s="7" t="inlineStr">
        <is>
          <t>김현수</t>
        </is>
      </c>
      <c r="F16" s="8" t="n">
        <v>1</v>
      </c>
      <c r="G16" s="9" t="n">
        <v>48000</v>
      </c>
      <c r="H16" s="8" t="n">
        <v>25</v>
      </c>
    </row>
    <row r="17">
      <c r="A17" s="6" t="n">
        <v>46089</v>
      </c>
      <c r="B17" s="7" t="inlineStr">
        <is>
          <t>ROB-01</t>
        </is>
      </c>
      <c r="C17" s="7" t="inlineStr">
        <is>
          <t>조립</t>
        </is>
      </c>
      <c r="D17" s="7" t="inlineStr">
        <is>
          <t>정기</t>
        </is>
      </c>
      <c r="E17" s="7" t="inlineStr">
        <is>
          <t>박지훈</t>
        </is>
      </c>
      <c r="F17" s="8" t="n">
        <v>0</v>
      </c>
      <c r="G17" s="9" t="n">
        <v>0</v>
      </c>
      <c r="H17" s="8" t="n">
        <v>0</v>
      </c>
    </row>
    <row r="18">
      <c r="A18" s="6" t="n">
        <v>46090</v>
      </c>
      <c r="B18" s="7" t="inlineStr">
        <is>
          <t>ROB-02</t>
        </is>
      </c>
      <c r="C18" s="7" t="inlineStr">
        <is>
          <t>조립</t>
        </is>
      </c>
      <c r="D18" s="7" t="inlineStr">
        <is>
          <t>수시</t>
        </is>
      </c>
      <c r="E18" s="7" t="inlineStr">
        <is>
          <t>이서연</t>
        </is>
      </c>
      <c r="F18" s="8" t="n">
        <v>1</v>
      </c>
      <c r="G18" s="9" t="n">
        <v>62000</v>
      </c>
      <c r="H18" s="8" t="n">
        <v>60</v>
      </c>
    </row>
    <row r="19">
      <c r="A19" s="6" t="n">
        <v>46090</v>
      </c>
      <c r="B19" s="7" t="inlineStr">
        <is>
          <t>CNV-01</t>
        </is>
      </c>
      <c r="C19" s="7" t="inlineStr">
        <is>
          <t>조립</t>
        </is>
      </c>
      <c r="D19" s="7" t="inlineStr">
        <is>
          <t>정기</t>
        </is>
      </c>
      <c r="E19" s="7" t="inlineStr">
        <is>
          <t>최민재</t>
        </is>
      </c>
      <c r="F19" s="8" t="n">
        <v>4</v>
      </c>
      <c r="G19" s="9" t="n">
        <v>140000</v>
      </c>
      <c r="H19" s="8" t="n">
        <v>100</v>
      </c>
    </row>
    <row r="20">
      <c r="A20" s="6" t="n">
        <v>46091</v>
      </c>
      <c r="B20" s="7" t="inlineStr">
        <is>
          <t>VIS-01</t>
        </is>
      </c>
      <c r="C20" s="7" t="inlineStr">
        <is>
          <t>검사</t>
        </is>
      </c>
      <c r="D20" s="7" t="inlineStr">
        <is>
          <t>정기</t>
        </is>
      </c>
      <c r="E20" s="7" t="inlineStr">
        <is>
          <t>김현수</t>
        </is>
      </c>
      <c r="F20" s="8" t="n">
        <v>1</v>
      </c>
      <c r="G20" s="9" t="n">
        <v>35000</v>
      </c>
      <c r="H20" s="8" t="n">
        <v>60</v>
      </c>
    </row>
    <row r="21">
      <c r="A21" s="6" t="n">
        <v>46091</v>
      </c>
      <c r="B21" s="7" t="inlineStr">
        <is>
          <t>VIS-02</t>
        </is>
      </c>
      <c r="C21" s="7" t="inlineStr">
        <is>
          <t>검사</t>
        </is>
      </c>
      <c r="D21" s="7" t="inlineStr">
        <is>
          <t>수시</t>
        </is>
      </c>
      <c r="E21" s="7" t="inlineStr">
        <is>
          <t>박지훈</t>
        </is>
      </c>
      <c r="F21" s="8" t="n">
        <v>0</v>
      </c>
      <c r="G21" s="9" t="n">
        <v>0</v>
      </c>
      <c r="H21" s="8" t="n">
        <v>0</v>
      </c>
    </row>
    <row r="22">
      <c r="A22" s="6" t="n">
        <v>46092</v>
      </c>
      <c r="B22" s="7" t="inlineStr">
        <is>
          <t>PKG-01</t>
        </is>
      </c>
      <c r="C22" s="7" t="inlineStr">
        <is>
          <t>포장</t>
        </is>
      </c>
      <c r="D22" s="7" t="inlineStr">
        <is>
          <t>정기</t>
        </is>
      </c>
      <c r="E22" s="7" t="inlineStr">
        <is>
          <t>이서연</t>
        </is>
      </c>
      <c r="F22" s="8" t="n">
        <v>5</v>
      </c>
      <c r="G22" s="9" t="n">
        <v>175000</v>
      </c>
      <c r="H22" s="8" t="n">
        <v>300</v>
      </c>
    </row>
    <row r="23">
      <c r="A23" s="6" t="n">
        <v>46092</v>
      </c>
      <c r="B23" s="7" t="inlineStr">
        <is>
          <t>PKG-02</t>
        </is>
      </c>
      <c r="C23" s="7" t="inlineStr">
        <is>
          <t>포장</t>
        </is>
      </c>
      <c r="D23" s="7" t="inlineStr">
        <is>
          <t>정기</t>
        </is>
      </c>
      <c r="E23" s="7" t="inlineStr">
        <is>
          <t>최민재</t>
        </is>
      </c>
      <c r="F23" s="8" t="n">
        <v>2</v>
      </c>
      <c r="G23" s="9" t="n">
        <v>96000</v>
      </c>
      <c r="H23" s="8" t="n">
        <v>120</v>
      </c>
    </row>
    <row r="24">
      <c r="A24" s="6" t="n">
        <v>46093</v>
      </c>
      <c r="B24" s="7" t="inlineStr">
        <is>
          <t>CNC-01</t>
        </is>
      </c>
      <c r="C24" s="7" t="inlineStr">
        <is>
          <t>가공</t>
        </is>
      </c>
      <c r="D24" s="7" t="inlineStr">
        <is>
          <t>수시</t>
        </is>
      </c>
      <c r="E24" s="7" t="inlineStr">
        <is>
          <t>김현수</t>
        </is>
      </c>
      <c r="F24" s="8" t="n">
        <v>1</v>
      </c>
      <c r="G24" s="9" t="n">
        <v>35000</v>
      </c>
      <c r="H24" s="8" t="n">
        <v>25</v>
      </c>
    </row>
    <row r="25">
      <c r="A25" s="6" t="n">
        <v>46093</v>
      </c>
      <c r="B25" s="7" t="inlineStr">
        <is>
          <t>CNC-02</t>
        </is>
      </c>
      <c r="C25" s="7" t="inlineStr">
        <is>
          <t>가공</t>
        </is>
      </c>
      <c r="D25" s="7" t="inlineStr">
        <is>
          <t>정기</t>
        </is>
      </c>
      <c r="E25" s="7" t="inlineStr">
        <is>
          <t>박지훈</t>
        </is>
      </c>
      <c r="F25" s="8" t="n">
        <v>3</v>
      </c>
      <c r="G25" s="9" t="n">
        <v>360000</v>
      </c>
      <c r="H25" s="8" t="n">
        <v>45</v>
      </c>
    </row>
    <row r="26">
      <c r="A26" s="6" t="n">
        <v>46094</v>
      </c>
      <c r="B26" s="7" t="inlineStr">
        <is>
          <t>MCT-01</t>
        </is>
      </c>
      <c r="C26" s="7" t="inlineStr">
        <is>
          <t>가공</t>
        </is>
      </c>
      <c r="D26" s="7" t="inlineStr">
        <is>
          <t>정기</t>
        </is>
      </c>
      <c r="E26" s="7" t="inlineStr">
        <is>
          <t>이서연</t>
        </is>
      </c>
      <c r="F26" s="8" t="n">
        <v>0</v>
      </c>
      <c r="G26" s="9" t="n">
        <v>0</v>
      </c>
      <c r="H26" s="8" t="n">
        <v>0</v>
      </c>
    </row>
    <row r="27">
      <c r="A27" s="6" t="n">
        <v>46094</v>
      </c>
      <c r="B27" s="7" t="inlineStr">
        <is>
          <t>ROB-01</t>
        </is>
      </c>
      <c r="C27" s="7" t="inlineStr">
        <is>
          <t>조립</t>
        </is>
      </c>
      <c r="D27" s="7" t="inlineStr">
        <is>
          <t>수시</t>
        </is>
      </c>
      <c r="E27" s="7" t="inlineStr">
        <is>
          <t>최민재</t>
        </is>
      </c>
      <c r="F27" s="8" t="n">
        <v>1</v>
      </c>
      <c r="G27" s="9" t="n">
        <v>120000</v>
      </c>
      <c r="H27" s="8" t="n">
        <v>25</v>
      </c>
    </row>
    <row r="28">
      <c r="A28" s="6" t="n">
        <v>46095</v>
      </c>
      <c r="B28" s="7" t="inlineStr">
        <is>
          <t>ROB-02</t>
        </is>
      </c>
      <c r="C28" s="7" t="inlineStr">
        <is>
          <t>조립</t>
        </is>
      </c>
      <c r="D28" s="7" t="inlineStr">
        <is>
          <t>정기</t>
        </is>
      </c>
      <c r="E28" s="7" t="inlineStr">
        <is>
          <t>김현수</t>
        </is>
      </c>
      <c r="F28" s="8" t="n">
        <v>1</v>
      </c>
      <c r="G28" s="9" t="n">
        <v>120000</v>
      </c>
      <c r="H28" s="8" t="n">
        <v>25</v>
      </c>
    </row>
    <row r="29">
      <c r="A29" s="6" t="n">
        <v>46095</v>
      </c>
      <c r="B29" s="7" t="inlineStr">
        <is>
          <t>CNV-01</t>
        </is>
      </c>
      <c r="C29" s="7" t="inlineStr">
        <is>
          <t>조립</t>
        </is>
      </c>
      <c r="D29" s="7" t="inlineStr">
        <is>
          <t>정기</t>
        </is>
      </c>
      <c r="E29" s="7" t="inlineStr">
        <is>
          <t>박지훈</t>
        </is>
      </c>
      <c r="F29" s="8" t="n">
        <v>1</v>
      </c>
      <c r="G29" s="9" t="n">
        <v>35000</v>
      </c>
      <c r="H29" s="8" t="n">
        <v>40</v>
      </c>
    </row>
    <row r="30">
      <c r="A30" s="6" t="n">
        <v>46096</v>
      </c>
      <c r="B30" s="7" t="inlineStr">
        <is>
          <t>VIS-01</t>
        </is>
      </c>
      <c r="C30" s="7" t="inlineStr">
        <is>
          <t>검사</t>
        </is>
      </c>
      <c r="D30" s="7" t="inlineStr">
        <is>
          <t>수시</t>
        </is>
      </c>
      <c r="E30" s="7" t="inlineStr">
        <is>
          <t>이서연</t>
        </is>
      </c>
      <c r="F30" s="8" t="n">
        <v>1</v>
      </c>
      <c r="G30" s="9" t="n">
        <v>120000</v>
      </c>
      <c r="H30" s="8" t="n">
        <v>40</v>
      </c>
    </row>
    <row r="31">
      <c r="A31" s="6" t="n">
        <v>46096</v>
      </c>
      <c r="B31" s="7" t="inlineStr">
        <is>
          <t>VIS-02</t>
        </is>
      </c>
      <c r="C31" s="7" t="inlineStr">
        <is>
          <t>검사</t>
        </is>
      </c>
      <c r="D31" s="7" t="inlineStr">
        <is>
          <t>정기</t>
        </is>
      </c>
      <c r="E31" s="7" t="inlineStr">
        <is>
          <t>최민재</t>
        </is>
      </c>
      <c r="F31" s="8" t="n">
        <v>4</v>
      </c>
      <c r="G31" s="9" t="n">
        <v>248000</v>
      </c>
      <c r="H31" s="8" t="n">
        <v>100</v>
      </c>
    </row>
    <row r="32">
      <c r="A32" s="6" t="n">
        <v>46097</v>
      </c>
      <c r="B32" s="7" t="inlineStr">
        <is>
          <t>PKG-01</t>
        </is>
      </c>
      <c r="C32" s="7" t="inlineStr">
        <is>
          <t>포장</t>
        </is>
      </c>
      <c r="D32" s="7" t="inlineStr">
        <is>
          <t>정기</t>
        </is>
      </c>
      <c r="E32" s="7" t="inlineStr">
        <is>
          <t>김현수</t>
        </is>
      </c>
      <c r="F32" s="8" t="n">
        <v>0</v>
      </c>
      <c r="G32" s="9" t="n">
        <v>0</v>
      </c>
      <c r="H32" s="8" t="n">
        <v>0</v>
      </c>
    </row>
    <row r="33">
      <c r="A33" s="6" t="n">
        <v>46097</v>
      </c>
      <c r="B33" s="7" t="inlineStr">
        <is>
          <t>PKG-02</t>
        </is>
      </c>
      <c r="C33" s="7" t="inlineStr">
        <is>
          <t>포장</t>
        </is>
      </c>
      <c r="D33" s="7" t="inlineStr">
        <is>
          <t>수시</t>
        </is>
      </c>
      <c r="E33" s="7" t="inlineStr">
        <is>
          <t>박지훈</t>
        </is>
      </c>
      <c r="F33" s="8" t="n">
        <v>1</v>
      </c>
      <c r="G33" s="9" t="n">
        <v>48000</v>
      </c>
      <c r="H33" s="8" t="n">
        <v>15</v>
      </c>
    </row>
    <row r="34">
      <c r="A34" s="6" t="n">
        <v>46098</v>
      </c>
      <c r="B34" s="7" t="inlineStr">
        <is>
          <t>CNC-01</t>
        </is>
      </c>
      <c r="C34" s="7" t="inlineStr">
        <is>
          <t>가공</t>
        </is>
      </c>
      <c r="D34" s="7" t="inlineStr">
        <is>
          <t>정기</t>
        </is>
      </c>
      <c r="E34" s="7" t="inlineStr">
        <is>
          <t>이서연</t>
        </is>
      </c>
      <c r="F34" s="8" t="n">
        <v>1</v>
      </c>
      <c r="G34" s="9" t="n">
        <v>62000</v>
      </c>
      <c r="H34" s="8" t="n">
        <v>15</v>
      </c>
    </row>
    <row r="35">
      <c r="A35" s="6" t="n">
        <v>46098</v>
      </c>
      <c r="B35" s="7" t="inlineStr">
        <is>
          <t>CNC-02</t>
        </is>
      </c>
      <c r="C35" s="7" t="inlineStr">
        <is>
          <t>가공</t>
        </is>
      </c>
      <c r="D35" s="7" t="inlineStr">
        <is>
          <t>정기</t>
        </is>
      </c>
      <c r="E35" s="7" t="inlineStr">
        <is>
          <t>최민재</t>
        </is>
      </c>
      <c r="F35" s="8" t="n">
        <v>3</v>
      </c>
      <c r="G35" s="9" t="n">
        <v>186000</v>
      </c>
      <c r="H35" s="8" t="n">
        <v>180</v>
      </c>
    </row>
    <row r="36">
      <c r="A36" s="6" t="n">
        <v>46099</v>
      </c>
      <c r="B36" s="7" t="inlineStr">
        <is>
          <t>MCT-01</t>
        </is>
      </c>
      <c r="C36" s="7" t="inlineStr">
        <is>
          <t>가공</t>
        </is>
      </c>
      <c r="D36" s="7" t="inlineStr">
        <is>
          <t>수시</t>
        </is>
      </c>
      <c r="E36" s="7" t="inlineStr">
        <is>
          <t>김현수</t>
        </is>
      </c>
      <c r="F36" s="8" t="n">
        <v>5</v>
      </c>
      <c r="G36" s="9" t="n">
        <v>310000</v>
      </c>
      <c r="H36" s="8" t="n">
        <v>75</v>
      </c>
    </row>
    <row r="37">
      <c r="A37" s="6" t="n">
        <v>46099</v>
      </c>
      <c r="B37" s="7" t="inlineStr">
        <is>
          <t>ROB-01</t>
        </is>
      </c>
      <c r="C37" s="7" t="inlineStr">
        <is>
          <t>조립</t>
        </is>
      </c>
      <c r="D37" s="7" t="inlineStr">
        <is>
          <t>정기</t>
        </is>
      </c>
      <c r="E37" s="7" t="inlineStr">
        <is>
          <t>박지훈</t>
        </is>
      </c>
      <c r="F37" s="8" t="n">
        <v>1</v>
      </c>
      <c r="G37" s="9" t="n">
        <v>35000</v>
      </c>
      <c r="H37" s="8" t="n">
        <v>60</v>
      </c>
    </row>
    <row r="38">
      <c r="A38" s="6" t="n">
        <v>46100</v>
      </c>
      <c r="B38" s="7" t="inlineStr">
        <is>
          <t>ROB-02</t>
        </is>
      </c>
      <c r="C38" s="7" t="inlineStr">
        <is>
          <t>조립</t>
        </is>
      </c>
      <c r="D38" s="7" t="inlineStr">
        <is>
          <t>정기</t>
        </is>
      </c>
      <c r="E38" s="7" t="inlineStr">
        <is>
          <t>이서연</t>
        </is>
      </c>
      <c r="F38" s="8" t="n">
        <v>4</v>
      </c>
      <c r="G38" s="9" t="n">
        <v>480000</v>
      </c>
      <c r="H38" s="8" t="n">
        <v>100</v>
      </c>
    </row>
    <row r="39">
      <c r="A39" s="6" t="n">
        <v>46100</v>
      </c>
      <c r="B39" s="7" t="inlineStr">
        <is>
          <t>CNV-01</t>
        </is>
      </c>
      <c r="C39" s="7" t="inlineStr">
        <is>
          <t>조립</t>
        </is>
      </c>
      <c r="D39" s="7" t="inlineStr">
        <is>
          <t>수시</t>
        </is>
      </c>
      <c r="E39" s="7" t="inlineStr">
        <is>
          <t>최민재</t>
        </is>
      </c>
      <c r="F39" s="8" t="n">
        <v>2</v>
      </c>
      <c r="G39" s="9" t="n">
        <v>124000</v>
      </c>
      <c r="H39" s="8" t="n">
        <v>50</v>
      </c>
    </row>
    <row r="40">
      <c r="A40" s="6" t="n">
        <v>46101</v>
      </c>
      <c r="B40" s="7" t="inlineStr">
        <is>
          <t>VIS-01</t>
        </is>
      </c>
      <c r="C40" s="7" t="inlineStr">
        <is>
          <t>검사</t>
        </is>
      </c>
      <c r="D40" s="7" t="inlineStr">
        <is>
          <t>정기</t>
        </is>
      </c>
      <c r="E40" s="7" t="inlineStr">
        <is>
          <t>김현수</t>
        </is>
      </c>
      <c r="F40" s="8" t="n">
        <v>0</v>
      </c>
      <c r="G40" s="9" t="n">
        <v>0</v>
      </c>
      <c r="H40" s="8" t="n">
        <v>0</v>
      </c>
    </row>
    <row r="41">
      <c r="A41" s="6" t="n">
        <v>46101</v>
      </c>
      <c r="B41" s="7" t="inlineStr">
        <is>
          <t>VIS-02</t>
        </is>
      </c>
      <c r="C41" s="7" t="inlineStr">
        <is>
          <t>검사</t>
        </is>
      </c>
      <c r="D41" s="7" t="inlineStr">
        <is>
          <t>정기</t>
        </is>
      </c>
      <c r="E41" s="7" t="inlineStr">
        <is>
          <t>박지훈</t>
        </is>
      </c>
      <c r="F41" s="8" t="n">
        <v>2</v>
      </c>
      <c r="G41" s="9" t="n">
        <v>70000</v>
      </c>
      <c r="H41" s="8" t="n">
        <v>120</v>
      </c>
    </row>
    <row r="42">
      <c r="A42" s="6" t="n">
        <v>46102</v>
      </c>
      <c r="B42" s="7" t="inlineStr">
        <is>
          <t>PKG-01</t>
        </is>
      </c>
      <c r="C42" s="7" t="inlineStr">
        <is>
          <t>포장</t>
        </is>
      </c>
      <c r="D42" s="7" t="inlineStr">
        <is>
          <t>수시</t>
        </is>
      </c>
      <c r="E42" s="7" t="inlineStr">
        <is>
          <t>이서연</t>
        </is>
      </c>
      <c r="F42" s="8" t="n">
        <v>1</v>
      </c>
      <c r="G42" s="9" t="n">
        <v>62000</v>
      </c>
      <c r="H42" s="8" t="n">
        <v>60</v>
      </c>
    </row>
    <row r="43">
      <c r="A43" s="6" t="n">
        <v>46102</v>
      </c>
      <c r="B43" s="7" t="inlineStr">
        <is>
          <t>PKG-02</t>
        </is>
      </c>
      <c r="C43" s="7" t="inlineStr">
        <is>
          <t>포장</t>
        </is>
      </c>
      <c r="D43" s="7" t="inlineStr">
        <is>
          <t>정기</t>
        </is>
      </c>
      <c r="E43" s="7" t="inlineStr">
        <is>
          <t>최민재</t>
        </is>
      </c>
      <c r="F43" s="8" t="n">
        <v>3</v>
      </c>
      <c r="G43" s="9" t="n">
        <v>105000</v>
      </c>
      <c r="H43" s="8" t="n">
        <v>45</v>
      </c>
    </row>
    <row r="44">
      <c r="A44" s="6" t="n">
        <v>46103</v>
      </c>
      <c r="B44" s="7" t="inlineStr">
        <is>
          <t>CNC-01</t>
        </is>
      </c>
      <c r="C44" s="7" t="inlineStr">
        <is>
          <t>가공</t>
        </is>
      </c>
      <c r="D44" s="7" t="inlineStr">
        <is>
          <t>정기</t>
        </is>
      </c>
      <c r="E44" s="7" t="inlineStr">
        <is>
          <t>김현수</t>
        </is>
      </c>
      <c r="F44" s="8" t="n">
        <v>0</v>
      </c>
      <c r="G44" s="9" t="n">
        <v>0</v>
      </c>
      <c r="H44" s="8" t="n">
        <v>0</v>
      </c>
    </row>
    <row r="45">
      <c r="A45" s="6" t="n">
        <v>46103</v>
      </c>
      <c r="B45" s="7" t="inlineStr">
        <is>
          <t>CNC-02</t>
        </is>
      </c>
      <c r="C45" s="7" t="inlineStr">
        <is>
          <t>가공</t>
        </is>
      </c>
      <c r="D45" s="7" t="inlineStr">
        <is>
          <t>수시</t>
        </is>
      </c>
      <c r="E45" s="7" t="inlineStr">
        <is>
          <t>박지훈</t>
        </is>
      </c>
      <c r="F45" s="8" t="n">
        <v>0</v>
      </c>
      <c r="G45" s="9" t="n">
        <v>0</v>
      </c>
      <c r="H45" s="8" t="n">
        <v>0</v>
      </c>
    </row>
    <row r="46">
      <c r="A46" s="6" t="n">
        <v>46104</v>
      </c>
      <c r="B46" s="7" t="inlineStr">
        <is>
          <t>MCT-01</t>
        </is>
      </c>
      <c r="C46" s="7" t="inlineStr">
        <is>
          <t>가공</t>
        </is>
      </c>
      <c r="D46" s="7" t="inlineStr">
        <is>
          <t>정기</t>
        </is>
      </c>
      <c r="E46" s="7" t="inlineStr">
        <is>
          <t>이서연</t>
        </is>
      </c>
      <c r="F46" s="8" t="n">
        <v>1</v>
      </c>
      <c r="G46" s="9" t="n">
        <v>48000</v>
      </c>
      <c r="H46" s="8" t="n">
        <v>25</v>
      </c>
    </row>
    <row r="47">
      <c r="A47" s="6" t="n">
        <v>46104</v>
      </c>
      <c r="B47" s="7" t="inlineStr">
        <is>
          <t>ROB-01</t>
        </is>
      </c>
      <c r="C47" s="7" t="inlineStr">
        <is>
          <t>조립</t>
        </is>
      </c>
      <c r="D47" s="7" t="inlineStr">
        <is>
          <t>정기</t>
        </is>
      </c>
      <c r="E47" s="7" t="inlineStr">
        <is>
          <t>최민재</t>
        </is>
      </c>
      <c r="F47" s="8" t="n">
        <v>2</v>
      </c>
      <c r="G47" s="9" t="n">
        <v>240000</v>
      </c>
      <c r="H47" s="8" t="n">
        <v>30</v>
      </c>
    </row>
    <row r="48">
      <c r="A48" s="6" t="n">
        <v>46105</v>
      </c>
      <c r="B48" s="7" t="inlineStr">
        <is>
          <t>ROB-02</t>
        </is>
      </c>
      <c r="C48" s="7" t="inlineStr">
        <is>
          <t>조립</t>
        </is>
      </c>
      <c r="D48" s="7" t="inlineStr">
        <is>
          <t>수시</t>
        </is>
      </c>
      <c r="E48" s="7" t="inlineStr">
        <is>
          <t>김현수</t>
        </is>
      </c>
      <c r="F48" s="8" t="n">
        <v>4</v>
      </c>
      <c r="G48" s="9" t="n">
        <v>248000</v>
      </c>
      <c r="H48" s="8" t="n">
        <v>160</v>
      </c>
    </row>
    <row r="49">
      <c r="A49" s="6" t="n">
        <v>46105</v>
      </c>
      <c r="B49" s="7" t="inlineStr">
        <is>
          <t>CNV-01</t>
        </is>
      </c>
      <c r="C49" s="7" t="inlineStr">
        <is>
          <t>조립</t>
        </is>
      </c>
      <c r="D49" s="7" t="inlineStr">
        <is>
          <t>정기</t>
        </is>
      </c>
      <c r="E49" s="7" t="inlineStr">
        <is>
          <t>박지훈</t>
        </is>
      </c>
      <c r="F49" s="8" t="n">
        <v>5</v>
      </c>
      <c r="G49" s="9" t="n">
        <v>240000</v>
      </c>
      <c r="H49" s="8" t="n">
        <v>75</v>
      </c>
    </row>
    <row r="50">
      <c r="A50" s="6" t="n">
        <v>46106</v>
      </c>
      <c r="B50" s="7" t="inlineStr">
        <is>
          <t>VIS-01</t>
        </is>
      </c>
      <c r="C50" s="7" t="inlineStr">
        <is>
          <t>검사</t>
        </is>
      </c>
      <c r="D50" s="7" t="inlineStr">
        <is>
          <t>정기</t>
        </is>
      </c>
      <c r="E50" s="7" t="inlineStr">
        <is>
          <t>이서연</t>
        </is>
      </c>
      <c r="F50" s="8" t="n">
        <v>1</v>
      </c>
      <c r="G50" s="9" t="n">
        <v>35000</v>
      </c>
      <c r="H50" s="8" t="n">
        <v>60</v>
      </c>
    </row>
    <row r="51">
      <c r="A51" s="6" t="n">
        <v>46106</v>
      </c>
      <c r="B51" s="7" t="inlineStr">
        <is>
          <t>VIS-02</t>
        </is>
      </c>
      <c r="C51" s="7" t="inlineStr">
        <is>
          <t>검사</t>
        </is>
      </c>
      <c r="D51" s="7" t="inlineStr">
        <is>
          <t>수시</t>
        </is>
      </c>
      <c r="E51" s="7" t="inlineStr">
        <is>
          <t>최민재</t>
        </is>
      </c>
      <c r="F51" s="8" t="n">
        <v>0</v>
      </c>
      <c r="G51" s="9" t="n">
        <v>0</v>
      </c>
      <c r="H51" s="8" t="n">
        <v>0</v>
      </c>
    </row>
    <row r="52">
      <c r="A52" s="6" t="n">
        <v>46107</v>
      </c>
      <c r="B52" s="7" t="inlineStr">
        <is>
          <t>PKG-01</t>
        </is>
      </c>
      <c r="C52" s="7" t="inlineStr">
        <is>
          <t>포장</t>
        </is>
      </c>
      <c r="D52" s="7" t="inlineStr">
        <is>
          <t>정기</t>
        </is>
      </c>
      <c r="E52" s="7" t="inlineStr">
        <is>
          <t>김현수</t>
        </is>
      </c>
      <c r="F52" s="8" t="n">
        <v>0</v>
      </c>
      <c r="G52" s="9" t="n">
        <v>0</v>
      </c>
      <c r="H52" s="8" t="n">
        <v>0</v>
      </c>
    </row>
    <row r="53">
      <c r="A53" s="6" t="n">
        <v>46107</v>
      </c>
      <c r="B53" s="7" t="inlineStr">
        <is>
          <t>PKG-02</t>
        </is>
      </c>
      <c r="C53" s="7" t="inlineStr">
        <is>
          <t>포장</t>
        </is>
      </c>
      <c r="D53" s="7" t="inlineStr">
        <is>
          <t>정기</t>
        </is>
      </c>
      <c r="E53" s="7" t="inlineStr">
        <is>
          <t>박지훈</t>
        </is>
      </c>
      <c r="F53" s="8" t="n">
        <v>5</v>
      </c>
      <c r="G53" s="9" t="n">
        <v>240000</v>
      </c>
      <c r="H53" s="8" t="n">
        <v>200</v>
      </c>
    </row>
    <row r="54">
      <c r="A54" s="6" t="n">
        <v>46108</v>
      </c>
      <c r="B54" s="7" t="inlineStr">
        <is>
          <t>CNC-01</t>
        </is>
      </c>
      <c r="C54" s="7" t="inlineStr">
        <is>
          <t>가공</t>
        </is>
      </c>
      <c r="D54" s="7" t="inlineStr">
        <is>
          <t>수시</t>
        </is>
      </c>
      <c r="E54" s="7" t="inlineStr">
        <is>
          <t>이서연</t>
        </is>
      </c>
      <c r="F54" s="8" t="n">
        <v>5</v>
      </c>
      <c r="G54" s="9" t="n">
        <v>310000</v>
      </c>
      <c r="H54" s="8" t="n">
        <v>300</v>
      </c>
    </row>
    <row r="55">
      <c r="A55" s="6" t="n">
        <v>46108</v>
      </c>
      <c r="B55" s="7" t="inlineStr">
        <is>
          <t>CNC-02</t>
        </is>
      </c>
      <c r="C55" s="7" t="inlineStr">
        <is>
          <t>가공</t>
        </is>
      </c>
      <c r="D55" s="7" t="inlineStr">
        <is>
          <t>정기</t>
        </is>
      </c>
      <c r="E55" s="7" t="inlineStr">
        <is>
          <t>최민재</t>
        </is>
      </c>
      <c r="F55" s="8" t="n">
        <v>1</v>
      </c>
      <c r="G55" s="9" t="n">
        <v>120000</v>
      </c>
      <c r="H55" s="8" t="n">
        <v>60</v>
      </c>
    </row>
    <row r="56">
      <c r="A56" s="6" t="n">
        <v>46109</v>
      </c>
      <c r="B56" s="7" t="inlineStr">
        <is>
          <t>MCT-01</t>
        </is>
      </c>
      <c r="C56" s="7" t="inlineStr">
        <is>
          <t>가공</t>
        </is>
      </c>
      <c r="D56" s="7" t="inlineStr">
        <is>
          <t>정기</t>
        </is>
      </c>
      <c r="E56" s="7" t="inlineStr">
        <is>
          <t>김현수</t>
        </is>
      </c>
      <c r="F56" s="8" t="n">
        <v>3</v>
      </c>
      <c r="G56" s="9" t="n">
        <v>360000</v>
      </c>
      <c r="H56" s="8" t="n">
        <v>180</v>
      </c>
    </row>
    <row r="57">
      <c r="A57" s="6" t="n">
        <v>46109</v>
      </c>
      <c r="B57" s="7" t="inlineStr">
        <is>
          <t>ROB-01</t>
        </is>
      </c>
      <c r="C57" s="7" t="inlineStr">
        <is>
          <t>조립</t>
        </is>
      </c>
      <c r="D57" s="7" t="inlineStr">
        <is>
          <t>수시</t>
        </is>
      </c>
      <c r="E57" s="7" t="inlineStr">
        <is>
          <t>박지훈</t>
        </is>
      </c>
      <c r="F57" s="8" t="n">
        <v>0</v>
      </c>
      <c r="G57" s="9" t="n">
        <v>0</v>
      </c>
      <c r="H57" s="8" t="n">
        <v>0</v>
      </c>
    </row>
    <row r="58">
      <c r="A58" s="6" t="n">
        <v>46110</v>
      </c>
      <c r="B58" s="7" t="inlineStr">
        <is>
          <t>ROB-02</t>
        </is>
      </c>
      <c r="C58" s="7" t="inlineStr">
        <is>
          <t>조립</t>
        </is>
      </c>
      <c r="D58" s="7" t="inlineStr">
        <is>
          <t>정기</t>
        </is>
      </c>
      <c r="E58" s="7" t="inlineStr">
        <is>
          <t>이서연</t>
        </is>
      </c>
      <c r="F58" s="8" t="n">
        <v>1</v>
      </c>
      <c r="G58" s="9" t="n">
        <v>120000</v>
      </c>
      <c r="H58" s="8" t="n">
        <v>60</v>
      </c>
    </row>
    <row r="59">
      <c r="A59" s="6" t="n">
        <v>46110</v>
      </c>
      <c r="B59" s="7" t="inlineStr">
        <is>
          <t>CNV-01</t>
        </is>
      </c>
      <c r="C59" s="7" t="inlineStr">
        <is>
          <t>조립</t>
        </is>
      </c>
      <c r="D59" s="7" t="inlineStr">
        <is>
          <t>정기</t>
        </is>
      </c>
      <c r="E59" s="7" t="inlineStr">
        <is>
          <t>최민재</t>
        </is>
      </c>
      <c r="F59" s="8" t="n">
        <v>0</v>
      </c>
      <c r="G59" s="9" t="n">
        <v>0</v>
      </c>
      <c r="H59" s="8" t="n">
        <v>0</v>
      </c>
    </row>
    <row r="60">
      <c r="A60" s="6" t="n">
        <v>46111</v>
      </c>
      <c r="B60" s="7" t="inlineStr">
        <is>
          <t>VIS-01</t>
        </is>
      </c>
      <c r="C60" s="7" t="inlineStr">
        <is>
          <t>검사</t>
        </is>
      </c>
      <c r="D60" s="7" t="inlineStr">
        <is>
          <t>수시</t>
        </is>
      </c>
      <c r="E60" s="7" t="inlineStr">
        <is>
          <t>김현수</t>
        </is>
      </c>
      <c r="F60" s="8" t="n">
        <v>3</v>
      </c>
      <c r="G60" s="9" t="n">
        <v>186000</v>
      </c>
      <c r="H60" s="8" t="n">
        <v>45</v>
      </c>
    </row>
    <row r="61">
      <c r="A61" s="6" t="n">
        <v>46111</v>
      </c>
      <c r="B61" s="7" t="inlineStr">
        <is>
          <t>VIS-02</t>
        </is>
      </c>
      <c r="C61" s="7" t="inlineStr">
        <is>
          <t>검사</t>
        </is>
      </c>
      <c r="D61" s="7" t="inlineStr">
        <is>
          <t>정기</t>
        </is>
      </c>
      <c r="E61" s="7" t="inlineStr">
        <is>
          <t>박지훈</t>
        </is>
      </c>
      <c r="F61" s="8" t="n">
        <v>4</v>
      </c>
      <c r="G61" s="9" t="n">
        <v>480000</v>
      </c>
      <c r="H61" s="8" t="n">
        <v>160</v>
      </c>
    </row>
    <row r="62">
      <c r="A62" s="6" t="n">
        <v>46112</v>
      </c>
      <c r="B62" s="7" t="inlineStr">
        <is>
          <t>PKG-01</t>
        </is>
      </c>
      <c r="C62" s="7" t="inlineStr">
        <is>
          <t>포장</t>
        </is>
      </c>
      <c r="D62" s="7" t="inlineStr">
        <is>
          <t>정기</t>
        </is>
      </c>
      <c r="E62" s="7" t="inlineStr">
        <is>
          <t>이서연</t>
        </is>
      </c>
      <c r="F62" s="8" t="n">
        <v>1</v>
      </c>
      <c r="G62" s="9" t="n">
        <v>48000</v>
      </c>
      <c r="H62" s="8" t="n">
        <v>60</v>
      </c>
    </row>
    <row r="63">
      <c r="A63" s="6" t="n">
        <v>46112</v>
      </c>
      <c r="B63" s="7" t="inlineStr">
        <is>
          <t>PKG-02</t>
        </is>
      </c>
      <c r="C63" s="7" t="inlineStr">
        <is>
          <t>포장</t>
        </is>
      </c>
      <c r="D63" s="7" t="inlineStr">
        <is>
          <t>수시</t>
        </is>
      </c>
      <c r="E63" s="7" t="inlineStr">
        <is>
          <t>최민재</t>
        </is>
      </c>
      <c r="F63" s="8" t="n">
        <v>0</v>
      </c>
      <c r="G63" s="9" t="n">
        <v>0</v>
      </c>
      <c r="H63" s="8" t="n">
        <v>0</v>
      </c>
    </row>
    <row r="65" ht="30" customHeight="1">
      <c r="A65" s="10" t="inlineStr">
        <is>
          <t>60건입니다. 부분합을 넣기 전에 반드시 [공정] 기준으로 정렬하세요.</t>
        </is>
      </c>
    </row>
    <row r="67" ht="26" customHeight="1">
      <c r="A67" s="11" t="inlineStr">
        <is>
          <t>■ 계산 문제 6개</t>
        </is>
      </c>
    </row>
    <row r="68" ht="26" customHeight="1">
      <c r="A68" s="5" t="inlineStr">
        <is>
          <t>번호 ▶ 넣을 칸</t>
        </is>
      </c>
      <c r="B68" s="5" t="inlineStr">
        <is>
          <t>문제 — 무엇을 구하나</t>
        </is>
      </c>
      <c r="C68" s="12" t="n"/>
      <c r="D68" s="13" t="n"/>
      <c r="E68" s="5" t="inlineStr">
        <is>
          <t>답</t>
        </is>
      </c>
      <c r="F68" s="5" t="inlineStr">
        <is>
          <t>채점</t>
        </is>
      </c>
      <c r="G68" s="5" t="inlineStr">
        <is>
          <t>힌트</t>
        </is>
      </c>
      <c r="H68" s="12" t="n"/>
      <c r="I68" s="12" t="n"/>
      <c r="J68" s="13" t="n"/>
    </row>
    <row r="69" ht="21" customHeight="1">
      <c r="A69" s="14" t="inlineStr">
        <is>
          <t xml:space="preserve">  표를 읽는 연습 — ▶ 표시된 칸(E열)에</t>
        </is>
      </c>
    </row>
    <row r="70" ht="26" customHeight="1">
      <c r="A70" s="15" t="inlineStr">
        <is>
          <t>1  ▶E70</t>
        </is>
      </c>
      <c r="B70" s="16" t="inlineStr">
        <is>
          <t>전체 수리비용[G4:G63] 의 합계.</t>
        </is>
      </c>
      <c r="C70" s="17" t="n"/>
      <c r="D70" s="17" t="n"/>
      <c r="E70" s="18" t="n">
        <v>0</v>
      </c>
      <c r="F70" s="19">
        <f>IF(NOT(_xlfn.ISFORMULA(E70)),"↖ 0 지우고 수식",IF(IFERROR(ROUND(E70,4)=ROUND(AB70,4),E70=AB70),"✔ 맞음","✘ 다시"))</f>
        <v/>
      </c>
      <c r="G70" s="20" t="inlineStr">
        <is>
          <t>SUM</t>
        </is>
      </c>
      <c r="H70" s="17" t="n"/>
      <c r="I70" s="17" t="n"/>
      <c r="J70" s="17" t="n"/>
      <c r="AB70">
        <f>SUM(G4:G63)</f>
        <v/>
      </c>
    </row>
    <row r="71" ht="26" customHeight="1">
      <c r="A71" s="15" t="inlineStr">
        <is>
          <t>2  ▶E71</t>
        </is>
      </c>
      <c r="B71" s="16" t="inlineStr">
        <is>
          <t>'가공' 공정의 수리비용 합계.</t>
        </is>
      </c>
      <c r="C71" s="17" t="n"/>
      <c r="D71" s="17" t="n"/>
      <c r="E71" s="18" t="n">
        <v>0</v>
      </c>
      <c r="F71" s="19">
        <f>IF(NOT(_xlfn.ISFORMULA(E71)),"↖ 0 지우고 수식",IF(IFERROR(ROUND(E71,4)=ROUND(AB71,4),E71=AB71),"✔ 맞음","✘ 다시"))</f>
        <v/>
      </c>
      <c r="G71" s="20" t="inlineStr">
        <is>
          <t>SUMIF · 공정은 C열</t>
        </is>
      </c>
      <c r="H71" s="17" t="n"/>
      <c r="I71" s="17" t="n"/>
      <c r="J71" s="17" t="n"/>
      <c r="AB71">
        <f>SUMIF($C$4:$C$63,"가공",$G$4:$G$63)</f>
        <v/>
      </c>
    </row>
    <row r="72" ht="26" customHeight="1">
      <c r="A72" s="15" t="inlineStr">
        <is>
          <t>3  ▶E72</t>
        </is>
      </c>
      <c r="B72" s="16" t="inlineStr">
        <is>
          <t>이상건수가 0 인 점검 건수. (이상 없음)</t>
        </is>
      </c>
      <c r="C72" s="17" t="n"/>
      <c r="D72" s="17" t="n"/>
      <c r="E72" s="21" t="n">
        <v>0</v>
      </c>
      <c r="F72" s="19">
        <f>IF(NOT(_xlfn.ISFORMULA(E72)),"↖ 0 지우고 수식",IF(IFERROR(ROUND(E72,4)=ROUND(AB72,4),E72=AB72),"✔ 맞음","✘ 다시"))</f>
        <v/>
      </c>
      <c r="G72" s="20" t="inlineStr">
        <is>
          <t>COUNTIF(범위, 0)</t>
        </is>
      </c>
      <c r="H72" s="17" t="n"/>
      <c r="I72" s="17" t="n"/>
      <c r="J72" s="17" t="n"/>
      <c r="AB72">
        <f>COUNTIF(F4:F63,0)</f>
        <v/>
      </c>
    </row>
    <row r="73" ht="26" customHeight="1">
      <c r="A73" s="15" t="inlineStr">
        <is>
          <t>4  ▶E73</t>
        </is>
      </c>
      <c r="B73" s="16" t="inlineStr">
        <is>
          <t>'수시' 점검의 평균 정지시간을 소수 첫째 자리까지.</t>
        </is>
      </c>
      <c r="C73" s="17" t="n"/>
      <c r="D73" s="17" t="n"/>
      <c r="E73" s="22" t="n">
        <v>0</v>
      </c>
      <c r="F73" s="19">
        <f>IF(NOT(_xlfn.ISFORMULA(E73)),"↖ 0 지우고 수식",IF(IFERROR(ROUND(E73,4)=ROUND(AB73,4),E73=AB73),"✔ 맞음","✘ 다시"))</f>
        <v/>
      </c>
      <c r="G73" s="20" t="inlineStr">
        <is>
          <t>AVERAGEIF 를 ROUND 로 감싸기</t>
        </is>
      </c>
      <c r="H73" s="17" t="n"/>
      <c r="I73" s="17" t="n"/>
      <c r="J73" s="17" t="n"/>
      <c r="AB73">
        <f>ROUND(AVERAGEIF($D$4:$D$63,"수시",$H$4:$H$63),1)</f>
        <v/>
      </c>
    </row>
    <row r="74" ht="26" customHeight="1">
      <c r="A74" s="15" t="inlineStr">
        <is>
          <t>5  ▶E74</t>
        </is>
      </c>
      <c r="B74" s="16" t="inlineStr">
        <is>
          <t>가장 큰 수리비용.</t>
        </is>
      </c>
      <c r="C74" s="17" t="n"/>
      <c r="D74" s="17" t="n"/>
      <c r="E74" s="18" t="n">
        <v>0</v>
      </c>
      <c r="F74" s="19">
        <f>IF(NOT(_xlfn.ISFORMULA(E74)),"↖ 0 지우고 수식",IF(IFERROR(ROUND(E74,4)=ROUND(AB74,4),E74=AB74),"✔ 맞음","✘ 다시"))</f>
        <v/>
      </c>
      <c r="G74" s="20" t="inlineStr">
        <is>
          <t>MAX</t>
        </is>
      </c>
      <c r="H74" s="17" t="n"/>
      <c r="I74" s="17" t="n"/>
      <c r="J74" s="17" t="n"/>
      <c r="AB74">
        <f>MAX(G4:G63)</f>
        <v/>
      </c>
    </row>
    <row r="75" ht="26" customHeight="1">
      <c r="A75" s="15" t="inlineStr">
        <is>
          <t>6  ▶E75</t>
        </is>
      </c>
      <c r="B75" s="16" t="inlineStr">
        <is>
          <t>수리비용이 두 번째로 큰 값.</t>
        </is>
      </c>
      <c r="C75" s="17" t="n"/>
      <c r="D75" s="17" t="n"/>
      <c r="E75" s="18" t="n">
        <v>0</v>
      </c>
      <c r="F75" s="19">
        <f>IF(NOT(_xlfn.ISFORMULA(E75)),"↖ 0 지우고 수식",IF(IFERROR(ROUND(E75,4)=ROUND(AB75,4),E75=AB75),"✔ 맞음","✘ 다시"))</f>
        <v/>
      </c>
      <c r="G75" s="20" t="inlineStr">
        <is>
          <t>LARGE(범위, 2)</t>
        </is>
      </c>
      <c r="H75" s="17" t="n"/>
      <c r="I75" s="17" t="n"/>
      <c r="J75" s="17" t="n"/>
      <c r="AB75">
        <f>LARGE(G4:G63,2)</f>
        <v/>
      </c>
    </row>
  </sheetData>
  <mergeCells count="17">
    <mergeCell ref="G75:J75"/>
    <mergeCell ref="B72:D72"/>
    <mergeCell ref="G70:J70"/>
    <mergeCell ref="A65:H65"/>
    <mergeCell ref="G72:J72"/>
    <mergeCell ref="B71:D71"/>
    <mergeCell ref="A67:J67"/>
    <mergeCell ref="G73:J73"/>
    <mergeCell ref="G74:J74"/>
    <mergeCell ref="A69:J69"/>
    <mergeCell ref="B73:D73"/>
    <mergeCell ref="G68:J68"/>
    <mergeCell ref="B70:D70"/>
    <mergeCell ref="B68:D68"/>
    <mergeCell ref="B74:D74"/>
    <mergeCell ref="B75:D75"/>
    <mergeCell ref="G71:J71"/>
  </mergeCells>
  <conditionalFormatting sqref="F69:F75">
    <cfRule type="expression" priority="1" dxfId="0">
      <formula>ISNUMBER(SEARCH("맞",F69))</formula>
    </cfRule>
    <cfRule type="expression" priority="2" dxfId="1">
      <formula>ISNUMBER(SEARCH("다시",F69))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" customWidth="1" min="3" max="3"/>
    <col width="64" customWidth="1" min="4" max="4"/>
  </cols>
  <sheetData>
    <row r="1" ht="26" customHeight="1">
      <c r="A1" s="11" t="inlineStr">
        <is>
          <t>목표값 찾기 · 시나리오용 원가 모형</t>
        </is>
      </c>
    </row>
    <row r="2" ht="30" customHeight="1">
      <c r="A2" s="10" t="inlineStr">
        <is>
          <t>파란 칸은 직접 넣은 숫자, 초록 칸은 수식입니다. 초록 칸을 클릭해 안을 확인하세요.</t>
        </is>
      </c>
    </row>
    <row r="4">
      <c r="A4" s="23" t="inlineStr">
        <is>
          <t>월 생산수량(개)</t>
        </is>
      </c>
      <c r="B4" s="24" t="n">
        <v>5000</v>
      </c>
    </row>
    <row r="5">
      <c r="A5" s="23" t="inlineStr">
        <is>
          <t>개당 재료비(원)</t>
        </is>
      </c>
      <c r="B5" s="24" t="n">
        <v>3200</v>
      </c>
    </row>
    <row r="6">
      <c r="A6" s="23" t="inlineStr">
        <is>
          <t>개당 가공비(원)</t>
        </is>
      </c>
      <c r="B6" s="24" t="n">
        <v>1450</v>
      </c>
    </row>
    <row r="7">
      <c r="A7" s="23" t="inlineStr">
        <is>
          <t>월 고정비(원)</t>
        </is>
      </c>
      <c r="B7" s="24" t="n">
        <v>12000000</v>
      </c>
    </row>
    <row r="8">
      <c r="A8" s="23" t="inlineStr">
        <is>
          <t>불량률</t>
        </is>
      </c>
      <c r="B8" s="25" t="n">
        <v>0.03</v>
      </c>
    </row>
    <row r="10">
      <c r="A10" s="26" t="inlineStr">
        <is>
          <t>양품 수량</t>
        </is>
      </c>
      <c r="B10" s="27">
        <f>ROUND(B4*(1-B8),0)</f>
        <v/>
      </c>
    </row>
    <row r="11">
      <c r="A11" s="26" t="inlineStr">
        <is>
          <t>총 변동비</t>
        </is>
      </c>
      <c r="B11" s="27">
        <f>B4*(B5+B6)</f>
        <v/>
      </c>
    </row>
    <row r="12">
      <c r="A12" s="26" t="inlineStr">
        <is>
          <t>총 원가</t>
        </is>
      </c>
      <c r="B12" s="27">
        <f>B11+B7</f>
        <v/>
      </c>
    </row>
    <row r="13">
      <c r="A13" s="26" t="inlineStr">
        <is>
          <t>양품 1개당 원가</t>
        </is>
      </c>
      <c r="B13" s="27">
        <f>ROUND(B12/B10,0)</f>
        <v/>
      </c>
    </row>
    <row r="15">
      <c r="A15" s="28" t="inlineStr">
        <is>
          <t>→ 목표값 찾기 : [B13] 이 6,000 이 되려면 [B4] 는 몇 개?</t>
        </is>
      </c>
    </row>
    <row r="16">
      <c r="A16" s="28" t="inlineStr">
        <is>
          <t>→ 시나리오 : [B8] 이 1% / 3% / 6% 일 때 [B13] 이 얼마가 되는지 요약표로</t>
        </is>
      </c>
    </row>
    <row r="17">
      <c r="A17" s="29" t="inlineStr">
        <is>
          <t>→ 목표값 찾기를 하면 B4 값이 바뀝니다. 해 보기 전 원래 값 5000 을 적어 두세요.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6" customWidth="1" min="1" max="1"/>
    <col width="64" customWidth="1" min="2" max="2"/>
    <col width="7" customWidth="1" min="3" max="3"/>
    <col width="42" customWidth="1" min="4" max="4"/>
  </cols>
  <sheetData>
    <row r="1" ht="26" customHeight="1">
      <c r="A1" s="11" t="inlineStr">
        <is>
          <t>2급 ③ 분석작업 미션 12가지</t>
        </is>
      </c>
    </row>
    <row r="2" ht="30" customHeight="1">
      <c r="A2" s="10" t="inlineStr">
        <is>
          <t>부분합·피벗은 '어느 메뉴에서 무엇을 고르는지' 가 전부입니다. [따라하기] 시트를 보며 한 번씩 해 보세요.</t>
        </is>
      </c>
    </row>
    <row r="4" ht="24" customHeight="1">
      <c r="A4" s="5" t="inlineStr">
        <is>
          <t>번호</t>
        </is>
      </c>
      <c r="B4" s="5" t="inlineStr">
        <is>
          <t>미션 — 무엇을 하는가</t>
        </is>
      </c>
      <c r="C4" s="5" t="inlineStr">
        <is>
          <t>다 함</t>
        </is>
      </c>
      <c r="D4" s="5" t="inlineStr">
        <is>
          <t>어디서 (메뉴)</t>
        </is>
      </c>
    </row>
    <row r="5" ht="30" customHeight="1">
      <c r="A5" s="7" t="n">
        <v>1</v>
      </c>
      <c r="B5" s="30" t="inlineStr">
        <is>
          <t>[점검이력] 공정(C열) 기준 오름차순 정렬.</t>
        </is>
      </c>
      <c r="C5" s="31" t="inlineStr">
        <is>
          <t>□</t>
        </is>
      </c>
      <c r="D5" s="20" t="inlineStr">
        <is>
          <t>데이터 → 정렬</t>
        </is>
      </c>
    </row>
    <row r="6" ht="30" customHeight="1">
      <c r="A6" s="7" t="n">
        <v>2</v>
      </c>
      <c r="B6" s="30" t="inlineStr">
        <is>
          <t>[점검이력] 공정별 이상건수·수리비용 합계 부분합.</t>
        </is>
      </c>
      <c r="C6" s="31" t="inlineStr">
        <is>
          <t>□</t>
        </is>
      </c>
      <c r="D6" s="20" t="inlineStr">
        <is>
          <t>데이터 → 부분합</t>
        </is>
      </c>
    </row>
    <row r="7" ht="30" customHeight="1">
      <c r="A7" s="7" t="n">
        <v>3</v>
      </c>
      <c r="B7" s="30" t="inlineStr">
        <is>
          <t>[점검이력] 공정별 평균 정지시간 부분합을 하나 더 덧붙이기.</t>
        </is>
      </c>
      <c r="C7" s="31" t="inlineStr">
        <is>
          <t>□</t>
        </is>
      </c>
      <c r="D7" s="20" t="inlineStr">
        <is>
          <t>'새로운 값으로 대치' 해제</t>
        </is>
      </c>
    </row>
    <row r="8" ht="30" customHeight="1">
      <c r="A8" s="7" t="n">
        <v>4</v>
      </c>
      <c r="B8" s="30" t="inlineStr">
        <is>
          <t>[점검이력] 부분합 화면을 2단계만 보이게 접기.</t>
        </is>
      </c>
      <c r="C8" s="31" t="inlineStr">
        <is>
          <t>□</t>
        </is>
      </c>
      <c r="D8" s="20" t="inlineStr">
        <is>
          <t>왼쪽 1 2 3 단추</t>
        </is>
      </c>
    </row>
    <row r="9" ht="30" customHeight="1">
      <c r="A9" s="7" t="n">
        <v>5</v>
      </c>
      <c r="B9" s="30" t="inlineStr">
        <is>
          <t>[점검이력] 부분합을 모두 없애고 원래 표로 되돌리기.</t>
        </is>
      </c>
      <c r="C9" s="31" t="inlineStr">
        <is>
          <t>□</t>
        </is>
      </c>
      <c r="D9" s="20" t="inlineStr">
        <is>
          <t>데이터 → 부분합 → 모두 제거</t>
        </is>
      </c>
    </row>
    <row r="10" ht="30" customHeight="1">
      <c r="A10" s="7" t="n">
        <v>6</v>
      </c>
      <c r="B10" s="30" t="inlineStr">
        <is>
          <t>[점검이력] 새 시트에 피벗 — 행 공정, 열 점검구분, 값 수리비용 합계.</t>
        </is>
      </c>
      <c r="C10" s="31" t="inlineStr">
        <is>
          <t>□</t>
        </is>
      </c>
      <c r="D10" s="20" t="inlineStr">
        <is>
          <t>삽입 → 피벗 테이블</t>
        </is>
      </c>
    </row>
    <row r="11" ht="30" customHeight="1">
      <c r="A11" s="7" t="n">
        <v>7</v>
      </c>
      <c r="B11" s="30" t="inlineStr">
        <is>
          <t>[점검이력] 그 피벗에 값 하나 더 — 이상건수 '평균'.</t>
        </is>
      </c>
      <c r="C11" s="31" t="inlineStr">
        <is>
          <t>□</t>
        </is>
      </c>
      <c r="D11" s="20" t="inlineStr">
        <is>
          <t>값 필드 설정</t>
        </is>
      </c>
    </row>
    <row r="12" ht="30" customHeight="1">
      <c r="A12" s="7" t="n">
        <v>8</v>
      </c>
      <c r="B12" s="30" t="inlineStr">
        <is>
          <t>[점검이력] 피벗 숫자에 천 단위 쉼표 넣기.</t>
        </is>
      </c>
      <c r="C12" s="31" t="inlineStr">
        <is>
          <t>□</t>
        </is>
      </c>
      <c r="D12" s="20" t="inlineStr">
        <is>
          <t>값 필드 설정 → 표시 형식</t>
        </is>
      </c>
    </row>
    <row r="13" ht="30" customHeight="1">
      <c r="A13" s="7" t="n">
        <v>9</v>
      </c>
      <c r="B13" s="30" t="inlineStr">
        <is>
          <t>[점검이력] 공정 오름차순 + 같은 공정 안에서 수리비용 내림차순 정렬.</t>
        </is>
      </c>
      <c r="C13" s="31" t="inlineStr">
        <is>
          <t>□</t>
        </is>
      </c>
      <c r="D13" s="20" t="inlineStr">
        <is>
          <t>데이터 → 정렬 → 기준 추가</t>
        </is>
      </c>
    </row>
    <row r="14" ht="30" customHeight="1">
      <c r="A14" s="7" t="n">
        <v>10</v>
      </c>
      <c r="B14" s="30" t="inlineStr">
        <is>
          <t>[점검이력] 점검자가 '김현수' 인 줄만 보이게 자동 필터.</t>
        </is>
      </c>
      <c r="C14" s="31" t="inlineStr">
        <is>
          <t>□</t>
        </is>
      </c>
      <c r="D14" s="20" t="inlineStr">
        <is>
          <t>데이터 → 필터</t>
        </is>
      </c>
    </row>
    <row r="15" ht="30" customHeight="1">
      <c r="A15" s="7" t="n">
        <v>11</v>
      </c>
      <c r="B15" s="30" t="inlineStr">
        <is>
          <t>[원가모형] [B13] 이 6,000 이 되려면 [B4] 는 몇 개인지 구하기.</t>
        </is>
      </c>
      <c r="C15" s="31" t="inlineStr">
        <is>
          <t>□</t>
        </is>
      </c>
      <c r="D15" s="20" t="inlineStr">
        <is>
          <t>데이터 → 가상 분석 → 목표값 찾기</t>
        </is>
      </c>
    </row>
    <row r="16" ht="30" customHeight="1">
      <c r="A16" s="7" t="n">
        <v>12</v>
      </c>
      <c r="B16" s="30" t="inlineStr">
        <is>
          <t>[원가모형] [B8] 이 1%·3%·6% 일 때 [B13] 을 시나리오 요약으로.</t>
        </is>
      </c>
      <c r="C16" s="31" t="inlineStr">
        <is>
          <t>□</t>
        </is>
      </c>
      <c r="D16" s="20" t="inlineStr">
        <is>
          <t>데이터 → 가상 분석 → 시나리오 관리자</t>
        </is>
      </c>
    </row>
  </sheetData>
  <mergeCells count="2">
    <mergeCell ref="A1:D1"/>
    <mergeCell ref="A2:D2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8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2" customWidth="1" min="2" max="2"/>
    <col width="50" customWidth="1" min="3" max="3"/>
  </cols>
  <sheetData>
    <row r="1" ht="26" customHeight="1">
      <c r="A1" s="11" t="inlineStr">
        <is>
          <t>2급 ③ 분석작업 — 단계별로 따라 하기</t>
        </is>
      </c>
    </row>
    <row r="2" ht="30" customHeight="1">
      <c r="A2" s="10" t="inlineStr">
        <is>
          <t>미션 12가지를 순서대로 풀어 쓴 것입니다. 부분합 → 피벗 순서로 할 때는 부분합을 먼저 지워야 합니다.</t>
        </is>
      </c>
    </row>
    <row r="4" ht="24" customHeight="1">
      <c r="A4" s="32" t="inlineStr">
        <is>
          <t xml:space="preserve">  미션 1 · 정렬 먼저 하기</t>
        </is>
      </c>
    </row>
    <row r="5" ht="20" customHeight="1">
      <c r="A5" s="33" t="inlineStr">
        <is>
          <t>어디서</t>
        </is>
      </c>
      <c r="B5" s="34" t="inlineStr">
        <is>
          <t>[점검이력] 데이터 탭</t>
        </is>
      </c>
    </row>
    <row r="6" ht="28" customHeight="1">
      <c r="A6" s="35" t="inlineStr">
        <is>
          <t>1단계</t>
        </is>
      </c>
      <c r="B6" s="16" t="inlineStr">
        <is>
          <t>C열(공정)의 아무 칸이나 하나 클릭합니다.</t>
        </is>
      </c>
      <c r="C6" s="20" t="inlineStr">
        <is>
          <t>범위를 통째로 잡을 필요 없습니다</t>
        </is>
      </c>
    </row>
    <row r="7" ht="28" customHeight="1">
      <c r="A7" s="35" t="inlineStr">
        <is>
          <t>2단계</t>
        </is>
      </c>
      <c r="B7" s="16" t="inlineStr">
        <is>
          <t>데이터 → 정렬 및 필터의 [ㄱ→ㅎ] 단추를 누릅니다.</t>
        </is>
      </c>
      <c r="C7" s="20" t="inlineStr">
        <is>
          <t>오름차순입니다</t>
        </is>
      </c>
    </row>
    <row r="8" ht="28" customHeight="1">
      <c r="A8" s="35" t="inlineStr">
        <is>
          <t>3단계</t>
        </is>
      </c>
      <c r="B8" s="16" t="inlineStr">
        <is>
          <t>가공·검사·조립·포장 끼리 모였는지 봅니다.</t>
        </is>
      </c>
      <c r="C8" s="20" t="inlineStr">
        <is>
          <t>★ 이걸 안 하면 부분합이 같은 공정을 여러 번 만듭니다</t>
        </is>
      </c>
    </row>
    <row r="9" ht="26" customHeight="1">
      <c r="A9" s="36" t="inlineStr">
        <is>
          <t>확인</t>
        </is>
      </c>
      <c r="B9" s="37" t="inlineStr">
        <is>
          <t>이렇게 되면 성공 — 같은 공정끼리 붙어 있습니다</t>
        </is>
      </c>
    </row>
    <row r="11" ht="24" customHeight="1">
      <c r="A11" s="32" t="inlineStr">
        <is>
          <t xml:space="preserve">  미션 2 · 공정별 부분합 넣기</t>
        </is>
      </c>
    </row>
    <row r="12" ht="20" customHeight="1">
      <c r="A12" s="33" t="inlineStr">
        <is>
          <t>어디서</t>
        </is>
      </c>
      <c r="B12" s="34" t="inlineStr">
        <is>
          <t>[점검이력] 데이터 → 부분합</t>
        </is>
      </c>
    </row>
    <row r="13" ht="28" customHeight="1">
      <c r="A13" s="35" t="inlineStr">
        <is>
          <t>1단계</t>
        </is>
      </c>
      <c r="B13" s="16" t="inlineStr">
        <is>
          <t>표 안의 아무 칸을 클릭하고 데이터 → 부분합.</t>
        </is>
      </c>
      <c r="C13" s="20" t="inlineStr">
        <is>
          <t>개요 그룹에 있습니다</t>
        </is>
      </c>
    </row>
    <row r="14" ht="28" customHeight="1">
      <c r="A14" s="35" t="inlineStr">
        <is>
          <t>2단계</t>
        </is>
      </c>
      <c r="B14" s="16" t="inlineStr">
        <is>
          <t>[그룹화할 항목] 을 공정 으로 고릅니다.</t>
        </is>
      </c>
      <c r="C14" s="20" t="inlineStr">
        <is>
          <t>방금 정렬한 기준과 같아야 합니다</t>
        </is>
      </c>
    </row>
    <row r="15" ht="28" customHeight="1">
      <c r="A15" s="35" t="inlineStr">
        <is>
          <t>3단계</t>
        </is>
      </c>
      <c r="B15" s="16" t="inlineStr">
        <is>
          <t>[사용할 함수] 를 합계 로 둡니다.</t>
        </is>
      </c>
      <c r="C15" s="20" t="inlineStr"/>
    </row>
    <row r="16" ht="28" customHeight="1">
      <c r="A16" s="35" t="inlineStr">
        <is>
          <t>4단계</t>
        </is>
      </c>
      <c r="B16" s="16" t="inlineStr">
        <is>
          <t>[부분합 계산 항목] 에서 이상건수 와 수리비용 에만 체크하고 확인.</t>
        </is>
      </c>
      <c r="C16" s="20" t="inlineStr">
        <is>
          <t>다른 체크는 모두 풉니다</t>
        </is>
      </c>
    </row>
    <row r="17" ht="26" customHeight="1">
      <c r="A17" s="36" t="inlineStr">
        <is>
          <t>확인</t>
        </is>
      </c>
      <c r="B17" s="37" t="inlineStr">
        <is>
          <t>이렇게 되면 성공 — 공정이 바뀌는 자리마다 '가공 요약' 같은 줄이 생기고 맨 아래에 총합계가 붙습니다</t>
        </is>
      </c>
    </row>
    <row r="19" ht="24" customHeight="1">
      <c r="A19" s="32" t="inlineStr">
        <is>
          <t xml:space="preserve">  미션 3 · 부분합 하나 더 덧붙이기</t>
        </is>
      </c>
    </row>
    <row r="20" ht="20" customHeight="1">
      <c r="A20" s="33" t="inlineStr">
        <is>
          <t>어디서</t>
        </is>
      </c>
      <c r="B20" s="34" t="inlineStr">
        <is>
          <t>[점검이력] 데이터 → 부분합</t>
        </is>
      </c>
    </row>
    <row r="21" ht="28" customHeight="1">
      <c r="A21" s="35" t="inlineStr">
        <is>
          <t>1단계</t>
        </is>
      </c>
      <c r="B21" s="16" t="inlineStr">
        <is>
          <t>다시 데이터 → 부분합 을 누릅니다.</t>
        </is>
      </c>
      <c r="C21" s="20" t="inlineStr"/>
    </row>
    <row r="22" ht="28" customHeight="1">
      <c r="A22" s="35" t="inlineStr">
        <is>
          <t>2단계</t>
        </is>
      </c>
      <c r="B22" s="16" t="inlineStr">
        <is>
          <t>[사용할 함수] 를 평균 으로 바꿉니다.</t>
        </is>
      </c>
      <c r="C22" s="20" t="inlineStr"/>
    </row>
    <row r="23" ht="28" customHeight="1">
      <c r="A23" s="35" t="inlineStr">
        <is>
          <t>3단계</t>
        </is>
      </c>
      <c r="B23" s="16" t="inlineStr">
        <is>
          <t>[부분합 계산 항목] 은 정지시간(분) 에만 체크.</t>
        </is>
      </c>
      <c r="C23" s="20" t="inlineStr"/>
    </row>
    <row r="24" ht="28" customHeight="1">
      <c r="A24" s="35" t="inlineStr">
        <is>
          <t>4단계</t>
        </is>
      </c>
      <c r="B24" s="16" t="inlineStr">
        <is>
          <t>★ [새로운 값으로 대치] 체크를 반드시 해제하고 확인.</t>
        </is>
      </c>
      <c r="C24" s="20" t="inlineStr">
        <is>
          <t>이걸 켜 두면 앞의 합계가 사라집니다</t>
        </is>
      </c>
    </row>
    <row r="25" ht="26" customHeight="1">
      <c r="A25" s="36" t="inlineStr">
        <is>
          <t>확인</t>
        </is>
      </c>
      <c r="B25" s="37" t="inlineStr">
        <is>
          <t>이렇게 되면 성공 — 한 공정마다 '요약' 줄이 두 개(합계·평균) 생깁니다</t>
        </is>
      </c>
    </row>
    <row r="27" ht="24" customHeight="1">
      <c r="A27" s="32" t="inlineStr">
        <is>
          <t xml:space="preserve">  미션 4 · 부분합 접었다 펴기 · 없애기</t>
        </is>
      </c>
    </row>
    <row r="28" ht="20" customHeight="1">
      <c r="A28" s="33" t="inlineStr">
        <is>
          <t>어디서</t>
        </is>
      </c>
      <c r="B28" s="34" t="inlineStr">
        <is>
          <t>[점검이력] 화면 왼쪽 1 2 3 단추</t>
        </is>
      </c>
    </row>
    <row r="29" ht="28" customHeight="1">
      <c r="A29" s="35" t="inlineStr">
        <is>
          <t>1단계</t>
        </is>
      </c>
      <c r="B29" s="16" t="inlineStr">
        <is>
          <t>화면 왼쪽 끝 위의 2 를 누릅니다.</t>
        </is>
      </c>
      <c r="C29" s="20" t="inlineStr">
        <is>
          <t>요약 줄만 남고 자세한 줄이 접힙니다</t>
        </is>
      </c>
    </row>
    <row r="30" ht="28" customHeight="1">
      <c r="A30" s="35" t="inlineStr">
        <is>
          <t>2단계</t>
        </is>
      </c>
      <c r="B30" s="16" t="inlineStr">
        <is>
          <t>3 을 누르면 다시 다 보입니다.</t>
        </is>
      </c>
      <c r="C30" s="20" t="inlineStr">
        <is>
          <t>1 은 총합계만</t>
        </is>
      </c>
    </row>
    <row r="31" ht="28" customHeight="1">
      <c r="A31" s="35" t="inlineStr">
        <is>
          <t>3단계</t>
        </is>
      </c>
      <c r="B31" s="16" t="inlineStr">
        <is>
          <t>없앨 때는 데이터 → 부분합 → [모두 제거].</t>
        </is>
      </c>
      <c r="C31" s="20" t="inlineStr">
        <is>
          <t>삭제 키로 지우면 안 됩니다</t>
        </is>
      </c>
    </row>
    <row r="32" ht="28" customHeight="1">
      <c r="A32" s="35" t="inlineStr">
        <is>
          <t>4단계</t>
        </is>
      </c>
      <c r="B32" s="16" t="inlineStr">
        <is>
          <t>표가 원래대로 돌아왔는지 봅니다.</t>
        </is>
      </c>
      <c r="C32" s="20" t="inlineStr">
        <is>
          <t>다음 미션(피벗)을 하려면 부분합을 지워야 합니다</t>
        </is>
      </c>
    </row>
    <row r="33" ht="26" customHeight="1">
      <c r="A33" s="36" t="inlineStr">
        <is>
          <t>확인</t>
        </is>
      </c>
      <c r="B33" s="37" t="inlineStr">
        <is>
          <t>이렇게 되면 성공 — 표가 60줄 원래 모습으로 돌아옵니다</t>
        </is>
      </c>
    </row>
    <row r="35" ht="24" customHeight="1">
      <c r="A35" s="32" t="inlineStr">
        <is>
          <t xml:space="preserve">  미션 5 · 피벗 테이블 만들기</t>
        </is>
      </c>
    </row>
    <row r="36" ht="20" customHeight="1">
      <c r="A36" s="33" t="inlineStr">
        <is>
          <t>어디서</t>
        </is>
      </c>
      <c r="B36" s="34" t="inlineStr">
        <is>
          <t>[점검이력] 삽입 → 피벗 테이블</t>
        </is>
      </c>
    </row>
    <row r="37" ht="28" customHeight="1">
      <c r="A37" s="35" t="inlineStr">
        <is>
          <t>1단계</t>
        </is>
      </c>
      <c r="B37" s="16" t="inlineStr">
        <is>
          <t>표 안의 아무 칸을 클릭하고 삽입 → 피벗 테이블 → 확인.</t>
        </is>
      </c>
      <c r="C37" s="20" t="inlineStr">
        <is>
          <t>범위는 저절로 잡힙니다. 새 워크시트에 만듭니다</t>
        </is>
      </c>
    </row>
    <row r="38" ht="28" customHeight="1">
      <c r="A38" s="35" t="inlineStr">
        <is>
          <t>2단계</t>
        </is>
      </c>
      <c r="B38" s="16" t="inlineStr">
        <is>
          <t>오른쪽 필드 목록에서 공정 을 [행] 으로 끌어 놓습니다.</t>
        </is>
      </c>
      <c r="C38" s="20" t="inlineStr"/>
    </row>
    <row r="39" ht="28" customHeight="1">
      <c r="A39" s="35" t="inlineStr">
        <is>
          <t>3단계</t>
        </is>
      </c>
      <c r="B39" s="16" t="inlineStr">
        <is>
          <t>점검구분 을 [열] 로 끌어 놓습니다.</t>
        </is>
      </c>
      <c r="C39" s="20" t="inlineStr"/>
    </row>
    <row r="40" ht="28" customHeight="1">
      <c r="A40" s="35" t="inlineStr">
        <is>
          <t>4단계</t>
        </is>
      </c>
      <c r="B40" s="16" t="inlineStr">
        <is>
          <t>수리비용 을 [값] 으로 끌어 놓습니다.</t>
        </is>
      </c>
      <c r="C40" s="20" t="inlineStr">
        <is>
          <t>숫자는 자동으로 '합계' 가 됩니다</t>
        </is>
      </c>
    </row>
    <row r="41" ht="26" customHeight="1">
      <c r="A41" s="36" t="inlineStr">
        <is>
          <t>확인</t>
        </is>
      </c>
      <c r="B41" s="37" t="inlineStr">
        <is>
          <t>이렇게 되면 성공 — 공정 × 정기/수시 의 수리비용 표가 만들어집니다</t>
        </is>
      </c>
    </row>
    <row r="43" ht="24" customHeight="1">
      <c r="A43" s="32" t="inlineStr">
        <is>
          <t xml:space="preserve">  미션 6 · 피벗에 값 하나 더 · 쉼표 넣기</t>
        </is>
      </c>
    </row>
    <row r="44" ht="20" customHeight="1">
      <c r="A44" s="33" t="inlineStr">
        <is>
          <t>어디서</t>
        </is>
      </c>
      <c r="B44" s="34" t="inlineStr">
        <is>
          <t>피벗 테이블 안</t>
        </is>
      </c>
    </row>
    <row r="45" ht="28" customHeight="1">
      <c r="A45" s="35" t="inlineStr">
        <is>
          <t>1단계</t>
        </is>
      </c>
      <c r="B45" s="16" t="inlineStr">
        <is>
          <t>이상건수 를 [값] 으로 한 번 더 끌어 놓습니다.</t>
        </is>
      </c>
      <c r="C45" s="20" t="inlineStr"/>
    </row>
    <row r="46" ht="28" customHeight="1">
      <c r="A46" s="35" t="inlineStr">
        <is>
          <t>2단계</t>
        </is>
      </c>
      <c r="B46" s="16" t="inlineStr">
        <is>
          <t>[값] 칸의 '합계: 이상건수' 를 클릭 → 값 필드 설정.</t>
        </is>
      </c>
      <c r="C46" s="20" t="inlineStr"/>
    </row>
    <row r="47" ht="28" customHeight="1">
      <c r="A47" s="35" t="inlineStr">
        <is>
          <t>3단계</t>
        </is>
      </c>
      <c r="B47" s="16" t="inlineStr">
        <is>
          <t>계산 유형을 [평균] 으로 바꿉니다.</t>
        </is>
      </c>
      <c r="C47" s="20" t="inlineStr"/>
    </row>
    <row r="48" ht="28" customHeight="1">
      <c r="A48" s="35" t="inlineStr">
        <is>
          <t>4단계</t>
        </is>
      </c>
      <c r="B48" s="16" t="inlineStr">
        <is>
          <t>같은 창의 [표시 형식] → 숫자 → 1000 단위 구분 기호 체크.</t>
        </is>
      </c>
      <c r="C48" s="20" t="inlineStr">
        <is>
          <t>피벗 숫자 서식은 여기서 줍니다</t>
        </is>
      </c>
    </row>
    <row r="49" ht="26" customHeight="1">
      <c r="A49" s="36" t="inlineStr">
        <is>
          <t>확인</t>
        </is>
      </c>
      <c r="B49" s="37" t="inlineStr">
        <is>
          <t>이렇게 되면 성공 — 합계와 평균이 나란히 나오고 숫자에 쉼표가 붙습니다</t>
        </is>
      </c>
    </row>
    <row r="51" ht="24" customHeight="1">
      <c r="A51" s="32" t="inlineStr">
        <is>
          <t xml:space="preserve">  미션 7 · 기준이 둘인 정렬</t>
        </is>
      </c>
    </row>
    <row r="52" ht="20" customHeight="1">
      <c r="A52" s="33" t="inlineStr">
        <is>
          <t>어디서</t>
        </is>
      </c>
      <c r="B52" s="34" t="inlineStr">
        <is>
          <t>[점검이력] 데이터 → 정렬</t>
        </is>
      </c>
    </row>
    <row r="53" ht="28" customHeight="1">
      <c r="A53" s="35" t="inlineStr">
        <is>
          <t>1단계</t>
        </is>
      </c>
      <c r="B53" s="16" t="inlineStr">
        <is>
          <t>표 안의 칸을 클릭하고 데이터 → 정렬.</t>
        </is>
      </c>
      <c r="C53" s="20" t="inlineStr">
        <is>
          <t>작은 단추가 아니라 [정렬] 상자를 엽니다</t>
        </is>
      </c>
    </row>
    <row r="54" ht="28" customHeight="1">
      <c r="A54" s="35" t="inlineStr">
        <is>
          <t>2단계</t>
        </is>
      </c>
      <c r="B54" s="16" t="inlineStr">
        <is>
          <t>첫 기준 : 공정, 오름차순.</t>
        </is>
      </c>
      <c r="C54" s="20" t="inlineStr"/>
    </row>
    <row r="55" ht="28" customHeight="1">
      <c r="A55" s="35" t="inlineStr">
        <is>
          <t>3단계</t>
        </is>
      </c>
      <c r="B55" s="16" t="inlineStr">
        <is>
          <t>[기준 추가] 를 누르고 다음 기준 : 수리비용, 내림차순.</t>
        </is>
      </c>
      <c r="C55" s="20" t="inlineStr">
        <is>
          <t>추가한 순서대로 적용됩니다</t>
        </is>
      </c>
    </row>
    <row r="56" ht="28" customHeight="1">
      <c r="A56" s="35" t="inlineStr">
        <is>
          <t>4단계</t>
        </is>
      </c>
      <c r="B56" s="16" t="inlineStr">
        <is>
          <t>확인.</t>
        </is>
      </c>
      <c r="C56" s="20" t="inlineStr">
        <is>
          <t>머리글이 있으면 [내 데이터에 머리글 표시] 를 켜 둡니다</t>
        </is>
      </c>
    </row>
    <row r="57" ht="26" customHeight="1">
      <c r="A57" s="36" t="inlineStr">
        <is>
          <t>확인</t>
        </is>
      </c>
      <c r="B57" s="37" t="inlineStr">
        <is>
          <t>이렇게 되면 성공 — 공정끼리 모이고, 그 안에서 비싼 수리부터 나옵니다</t>
        </is>
      </c>
    </row>
    <row r="59" ht="24" customHeight="1">
      <c r="A59" s="32" t="inlineStr">
        <is>
          <t xml:space="preserve">  미션 8 · 자동 필터로 한 사람만 보기</t>
        </is>
      </c>
    </row>
    <row r="60" ht="20" customHeight="1">
      <c r="A60" s="33" t="inlineStr">
        <is>
          <t>어디서</t>
        </is>
      </c>
      <c r="B60" s="34" t="inlineStr">
        <is>
          <t>[점검이력] 데이터 → 필터</t>
        </is>
      </c>
    </row>
    <row r="61" ht="28" customHeight="1">
      <c r="A61" s="35" t="inlineStr">
        <is>
          <t>1단계</t>
        </is>
      </c>
      <c r="B61" s="16" t="inlineStr">
        <is>
          <t>표 안을 클릭하고 데이터 → 필터.</t>
        </is>
      </c>
      <c r="C61" s="20" t="inlineStr">
        <is>
          <t>머리글마다 작은 삼각형이 생깁니다</t>
        </is>
      </c>
    </row>
    <row r="62" ht="28" customHeight="1">
      <c r="A62" s="35" t="inlineStr">
        <is>
          <t>2단계</t>
        </is>
      </c>
      <c r="B62" s="16" t="inlineStr">
        <is>
          <t>점검자(E열) 의 삼각형을 누릅니다.</t>
        </is>
      </c>
      <c r="C62" s="20" t="inlineStr"/>
    </row>
    <row r="63" ht="28" customHeight="1">
      <c r="A63" s="35" t="inlineStr">
        <is>
          <t>3단계</t>
        </is>
      </c>
      <c r="B63" s="16" t="inlineStr">
        <is>
          <t>[모두 선택] 을 풀고 김현수 만 체크 → 확인.</t>
        </is>
      </c>
      <c r="C63" s="20" t="inlineStr"/>
    </row>
    <row r="64" ht="28" customHeight="1">
      <c r="A64" s="35" t="inlineStr">
        <is>
          <t>4단계</t>
        </is>
      </c>
      <c r="B64" s="16" t="inlineStr">
        <is>
          <t>다시 보려면 그 삼각형 → [필터 해제].</t>
        </is>
      </c>
      <c r="C64" s="20" t="inlineStr">
        <is>
          <t>필터를 켜 둔 채 SUM 을 쓰면 안 보이는 줄까지 더해집니다</t>
        </is>
      </c>
    </row>
    <row r="65" ht="26" customHeight="1">
      <c r="A65" s="36" t="inlineStr">
        <is>
          <t>확인</t>
        </is>
      </c>
      <c r="B65" s="37" t="inlineStr">
        <is>
          <t>이렇게 되면 성공 — 김현수 줄만 남고 행 번호가 파랗게 바뀝니다</t>
        </is>
      </c>
    </row>
    <row r="67" ht="24" customHeight="1">
      <c r="A67" s="32" t="inlineStr">
        <is>
          <t xml:space="preserve">  미션 9 · 목표값 찾기</t>
        </is>
      </c>
    </row>
    <row r="68" ht="20" customHeight="1">
      <c r="A68" s="33" t="inlineStr">
        <is>
          <t>어디서</t>
        </is>
      </c>
      <c r="B68" s="34" t="inlineStr">
        <is>
          <t>[원가모형] 데이터 → 가상 분석</t>
        </is>
      </c>
    </row>
    <row r="69" ht="28" customHeight="1">
      <c r="A69" s="35" t="inlineStr">
        <is>
          <t>1단계</t>
        </is>
      </c>
      <c r="B69" s="16" t="inlineStr">
        <is>
          <t>먼저 B4 의 지금 값(5000)을 종이에 적어 둡니다.</t>
        </is>
      </c>
      <c r="C69" s="20" t="inlineStr">
        <is>
          <t>목표값 찾기를 하면 이 값이 바뀝니다</t>
        </is>
      </c>
    </row>
    <row r="70" ht="28" customHeight="1">
      <c r="A70" s="35" t="inlineStr">
        <is>
          <t>2단계</t>
        </is>
      </c>
      <c r="B70" s="16" t="inlineStr">
        <is>
          <t>데이터 → 가상 분석 → 목표값 찾기.</t>
        </is>
      </c>
      <c r="C70" s="20" t="inlineStr"/>
    </row>
    <row r="71" ht="28" customHeight="1">
      <c r="A71" s="35" t="inlineStr">
        <is>
          <t>3단계</t>
        </is>
      </c>
      <c r="B71" s="16" t="inlineStr">
        <is>
          <t>수식 셀 $B$13 / 찾는 값 6000 / 값을 바꿀 셀 $B$4 를 넣습니다.</t>
        </is>
      </c>
      <c r="C71" s="20" t="inlineStr">
        <is>
          <t>★ 수식 셀은 수식이 든 칸, 값을 바꿀 셀은 숫자가 든 칸이어야 합니다</t>
        </is>
      </c>
    </row>
    <row r="72" ht="28" customHeight="1">
      <c r="A72" s="35" t="inlineStr">
        <is>
          <t>4단계</t>
        </is>
      </c>
      <c r="B72" s="16" t="inlineStr">
        <is>
          <t>확인 → 결과 창에서 다시 확인.</t>
        </is>
      </c>
      <c r="C72" s="20" t="inlineStr">
        <is>
          <t>취소를 누르면 원래 값으로 돌아갑니다</t>
        </is>
      </c>
    </row>
    <row r="73" ht="26" customHeight="1">
      <c r="A73" s="36" t="inlineStr">
        <is>
          <t>확인</t>
        </is>
      </c>
      <c r="B73" s="37" t="inlineStr">
        <is>
          <t>이렇게 되면 성공 — B4 가 1만 개 가까운 숫자로 바뀌고 B13 이 6,000 이 됩니다</t>
        </is>
      </c>
    </row>
    <row r="75" ht="24" customHeight="1">
      <c r="A75" s="32" t="inlineStr">
        <is>
          <t xml:space="preserve">  미션 10 · 시나리오 만들기</t>
        </is>
      </c>
    </row>
    <row r="76" ht="20" customHeight="1">
      <c r="A76" s="33" t="inlineStr">
        <is>
          <t>어디서</t>
        </is>
      </c>
      <c r="B76" s="34" t="inlineStr">
        <is>
          <t>[원가모형] 데이터 → 가상 분석</t>
        </is>
      </c>
    </row>
    <row r="77" ht="28" customHeight="1">
      <c r="A77" s="35" t="inlineStr">
        <is>
          <t>1단계</t>
        </is>
      </c>
      <c r="B77" s="16" t="inlineStr">
        <is>
          <t>데이터 → 가상 분석 → 시나리오 관리자 → [추가].</t>
        </is>
      </c>
      <c r="C77" s="20" t="inlineStr"/>
    </row>
    <row r="78" ht="28" customHeight="1">
      <c r="A78" s="35" t="inlineStr">
        <is>
          <t>2단계</t>
        </is>
      </c>
      <c r="B78" s="16" t="inlineStr">
        <is>
          <t>이름에  불량률1% , 변경 셀에  $B$8  을 넣고 확인 → 값에 0.01 입력.</t>
        </is>
      </c>
      <c r="C78" s="20" t="inlineStr">
        <is>
          <t>이름은 나중에 요약표에 그대로 나옵니다</t>
        </is>
      </c>
    </row>
    <row r="79" ht="28" customHeight="1">
      <c r="A79" s="35" t="inlineStr">
        <is>
          <t>3단계</t>
        </is>
      </c>
      <c r="B79" s="16" t="inlineStr">
        <is>
          <t>같은 방법으로 불량률3%(0.03), 불량률6%(0.06) 를 더 만듭니다.</t>
        </is>
      </c>
      <c r="C79" s="20" t="inlineStr">
        <is>
          <t>[추가] 를 계속 누르면 됩니다</t>
        </is>
      </c>
    </row>
    <row r="80" ht="28" customHeight="1">
      <c r="A80" s="35" t="inlineStr">
        <is>
          <t>4단계</t>
        </is>
      </c>
      <c r="B80" s="16" t="inlineStr">
        <is>
          <t>[요약] → 결과 셀에 $B$13 을 넣고 확인.</t>
        </is>
      </c>
      <c r="C80" s="20" t="inlineStr">
        <is>
          <t>새 시트에 요약표가 만들어집니다</t>
        </is>
      </c>
    </row>
    <row r="81" ht="26" customHeight="1">
      <c r="A81" s="36" t="inlineStr">
        <is>
          <t>확인</t>
        </is>
      </c>
      <c r="B81" s="37" t="inlineStr">
        <is>
          <t>이렇게 되면 성공 — '시나리오 요약' 시트에 세 경우의 1개당 원가가 나란히 나옵니다</t>
        </is>
      </c>
    </row>
  </sheetData>
  <mergeCells count="32">
    <mergeCell ref="B25:C25"/>
    <mergeCell ref="A75:C75"/>
    <mergeCell ref="B81:C81"/>
    <mergeCell ref="A27:C27"/>
    <mergeCell ref="A2:C2"/>
    <mergeCell ref="B12:C12"/>
    <mergeCell ref="B52:C52"/>
    <mergeCell ref="B60:C60"/>
    <mergeCell ref="B17:C17"/>
    <mergeCell ref="A35:C35"/>
    <mergeCell ref="A4:C4"/>
    <mergeCell ref="B57:C57"/>
    <mergeCell ref="A43:C43"/>
    <mergeCell ref="B73:C73"/>
    <mergeCell ref="B44:C44"/>
    <mergeCell ref="A19:C19"/>
    <mergeCell ref="B28:C28"/>
    <mergeCell ref="A67:C67"/>
    <mergeCell ref="B9:C9"/>
    <mergeCell ref="A59:C59"/>
    <mergeCell ref="B49:C49"/>
    <mergeCell ref="B65:C65"/>
    <mergeCell ref="A51:C51"/>
    <mergeCell ref="B68:C68"/>
    <mergeCell ref="A11:C11"/>
    <mergeCell ref="B33:C33"/>
    <mergeCell ref="A1:C1"/>
    <mergeCell ref="B5:C5"/>
    <mergeCell ref="B20:C20"/>
    <mergeCell ref="B76:C76"/>
    <mergeCell ref="B36:C36"/>
    <mergeCell ref="B41:C41"/>
  </mergeCells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46" customWidth="1" min="4" max="4"/>
    <col width="13" customWidth="1" min="5" max="5"/>
    <col width="44" customWidth="1" min="6" max="6"/>
  </cols>
  <sheetData>
    <row r="1" ht="26" customHeight="1">
      <c r="A1" s="11" t="inlineStr">
        <is>
          <t>2급 ③ 분석작업 — 계산 문제 정답</t>
        </is>
      </c>
    </row>
    <row r="2" ht="30" customHeight="1">
      <c r="A2" s="10" t="inlineStr">
        <is>
          <t>먼저 스스로 만들어 본 뒤에 펼쳐 보세요.  [넣을 칸] 이 그 답을 적을 자리이고, [정답값] 은 제대로 넣었을 때 나와야 하는 값입니다.</t>
        </is>
      </c>
    </row>
    <row r="4" ht="22" customHeight="1">
      <c r="A4" s="38" t="inlineStr">
        <is>
          <t xml:space="preserve">  표 아래 계산 문제 6개</t>
        </is>
      </c>
    </row>
    <row r="5" ht="24" customHeight="1">
      <c r="A5" s="5" t="inlineStr">
        <is>
          <t>번호</t>
        </is>
      </c>
      <c r="B5" s="5" t="inlineStr">
        <is>
          <t>넣을 칸</t>
        </is>
      </c>
      <c r="C5" s="5" t="inlineStr">
        <is>
          <t>무엇을 구하나</t>
        </is>
      </c>
      <c r="D5" s="5" t="inlineStr">
        <is>
          <t>정답 수식</t>
        </is>
      </c>
      <c r="E5" s="5" t="inlineStr">
        <is>
          <t>정답값</t>
        </is>
      </c>
      <c r="F5" s="5" t="inlineStr">
        <is>
          <t>왜 그런가 · 자주 하는 실수</t>
        </is>
      </c>
    </row>
    <row r="6" ht="30" customHeight="1">
      <c r="A6" s="7" t="n">
        <v>1</v>
      </c>
      <c r="B6" s="39" t="inlineStr">
        <is>
          <t>점검이력 E70</t>
        </is>
      </c>
      <c r="C6" s="40" t="inlineStr">
        <is>
          <t>전체 수리비용[G4:G63] 의 합계.</t>
        </is>
      </c>
      <c r="D6" s="41" t="inlineStr">
        <is>
          <t>=SUM(G4:G63)</t>
        </is>
      </c>
      <c r="E6" s="42">
        <f>'점검이력'!AB70</f>
        <v/>
      </c>
      <c r="F6" s="40" t="inlineStr"/>
    </row>
    <row r="7" ht="30" customHeight="1">
      <c r="A7" s="43" t="n">
        <v>2</v>
      </c>
      <c r="B7" s="44" t="inlineStr">
        <is>
          <t>점검이력 E71</t>
        </is>
      </c>
      <c r="C7" s="45" t="inlineStr">
        <is>
          <t>'가공' 공정의 수리비용 합계.</t>
        </is>
      </c>
      <c r="D7" s="46" t="inlineStr">
        <is>
          <t>=SUMIF($C$4:$C$63,"가공",$G$4:$G$63)</t>
        </is>
      </c>
      <c r="E7" s="47">
        <f>'점검이력'!AB71</f>
        <v/>
      </c>
      <c r="F7" s="45" t="inlineStr"/>
    </row>
    <row r="8" ht="30" customHeight="1">
      <c r="A8" s="7" t="n">
        <v>3</v>
      </c>
      <c r="B8" s="39" t="inlineStr">
        <is>
          <t>점검이력 E72</t>
        </is>
      </c>
      <c r="C8" s="40" t="inlineStr">
        <is>
          <t>이상건수가 0 인 점검 건수. (이상 없음)</t>
        </is>
      </c>
      <c r="D8" s="41" t="inlineStr">
        <is>
          <t>=COUNTIF(F4:F63,0)</t>
        </is>
      </c>
      <c r="E8" s="42">
        <f>'점검이력'!AB72</f>
        <v/>
      </c>
      <c r="F8" s="40" t="inlineStr"/>
    </row>
    <row r="9" ht="30" customHeight="1">
      <c r="A9" s="43" t="n">
        <v>4</v>
      </c>
      <c r="B9" s="44" t="inlineStr">
        <is>
          <t>점검이력 E73</t>
        </is>
      </c>
      <c r="C9" s="45" t="inlineStr">
        <is>
          <t>'수시' 점검의 평균 정지시간을 소수 첫째 자리까지.</t>
        </is>
      </c>
      <c r="D9" s="46" t="inlineStr">
        <is>
          <t>=ROUND(AVERAGEIF($D$4:$D$63,"수시",$H$4:$H$63),1)</t>
        </is>
      </c>
      <c r="E9" s="47">
        <f>'점검이력'!AB73</f>
        <v/>
      </c>
      <c r="F9" s="45" t="inlineStr"/>
    </row>
    <row r="10" ht="30" customHeight="1">
      <c r="A10" s="7" t="n">
        <v>5</v>
      </c>
      <c r="B10" s="39" t="inlineStr">
        <is>
          <t>점검이력 E74</t>
        </is>
      </c>
      <c r="C10" s="40" t="inlineStr">
        <is>
          <t>가장 큰 수리비용.</t>
        </is>
      </c>
      <c r="D10" s="41" t="inlineStr">
        <is>
          <t>=MAX(G4:G63)</t>
        </is>
      </c>
      <c r="E10" s="42">
        <f>'점검이력'!AB74</f>
        <v/>
      </c>
      <c r="F10" s="40" t="inlineStr"/>
    </row>
    <row r="11" ht="30" customHeight="1">
      <c r="A11" s="43" t="n">
        <v>6</v>
      </c>
      <c r="B11" s="44" t="inlineStr">
        <is>
          <t>점검이력 E75</t>
        </is>
      </c>
      <c r="C11" s="45" t="inlineStr">
        <is>
          <t>수리비용이 두 번째로 큰 값.</t>
        </is>
      </c>
      <c r="D11" s="46" t="inlineStr">
        <is>
          <t>=LARGE(G4:G63,2)</t>
        </is>
      </c>
      <c r="E11" s="47">
        <f>'점검이력'!AB75</f>
        <v/>
      </c>
      <c r="F11" s="45" t="inlineStr"/>
    </row>
  </sheetData>
  <mergeCells count="3">
    <mergeCell ref="A2:F2"/>
    <mergeCell ref="A1:F1"/>
    <mergeCell ref="A4:F4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2026-09-28T00:40:34Z</dcterms:created>
  <dcterms:modified xmlns:dcterms="http://purl.org/dc/terms/" xmlns:xsi="http://www.w3.org/2001/XMLSchema-instance" xsi:type="dcterms:W3CDTF">2026-09-28T00:40:34Z</dcterms:modified>
</cp:coreProperties>
</file>