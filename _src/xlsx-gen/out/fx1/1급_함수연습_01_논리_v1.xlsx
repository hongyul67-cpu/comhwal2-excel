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합격재시험 판정" sheetId="3" state="visible" r:id="rId3"/>
    <sheet xmlns:r="http://schemas.openxmlformats.org/officeDocument/2006/relationships" name="02 우수 판정" sheetId="4" state="visible" r:id="rId4"/>
    <sheet xmlns:r="http://schemas.openxmlformats.org/officeDocument/2006/relationships" name="03 달성률오류 처리" sheetId="5" state="visible" r:id="rId5"/>
    <sheet xmlns:r="http://schemas.openxmlformats.org/officeDocument/2006/relationships" name="04 점수 등급중첩 IF" sheetId="6" state="visible" r:id="rId6"/>
    <sheet xmlns:r="http://schemas.openxmlformats.org/officeDocument/2006/relationships" name="05 통과 판정OR" sheetId="7" state="visible" r:id="rId7"/>
    <sheet xmlns:r="http://schemas.openxmlformats.org/officeDocument/2006/relationships" name="06 조건 세 개를 중첩" sheetId="8" state="visible" r:id="rId8"/>
    <sheet xmlns:r="http://schemas.openxmlformats.org/officeDocument/2006/relationships" name="07 AND와 OR를 같이" sheetId="9" state="visible" r:id="rId9"/>
    <sheet xmlns:r="http://schemas.openxmlformats.org/officeDocument/2006/relationships" name="08 나눗셈 오류 막기" sheetId="10" state="visible" r:id="rId10"/>
    <sheet xmlns:r="http://schemas.openxmlformats.org/officeDocument/2006/relationships" name="09 기준 불량률 칸으로 판정" sheetId="11" state="visible" r:id="rId11"/>
    <sheet xmlns:r="http://schemas.openxmlformats.org/officeDocument/2006/relationships" name="정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논리 (9문제)</t>
        </is>
      </c>
    </row>
    <row r="3" ht="19" customHeight="1">
      <c r="B3" s="2" t="inlineStr">
        <is>
          <t>웹 「함수 연습소」의 [논리(IF)]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논리 9문제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합격/재시험 판정</t>
        </is>
      </c>
      <c r="C4" s="7" t="inlineStr">
        <is>
          <t>F2 → F7</t>
        </is>
      </c>
      <c r="D4" s="9">
        <f>'01 합격재시험 판정'!I7</f>
        <v/>
      </c>
    </row>
    <row r="5">
      <c r="A5" s="7" t="n">
        <v>2</v>
      </c>
      <c r="B5" s="8" t="inlineStr">
        <is>
          <t>우수 판정</t>
        </is>
      </c>
      <c r="C5" s="7" t="inlineStr">
        <is>
          <t>E2 → E6</t>
        </is>
      </c>
      <c r="D5" s="9">
        <f>'02 우수 판정'!I7</f>
        <v/>
      </c>
    </row>
    <row r="6">
      <c r="A6" s="7" t="n">
        <v>3</v>
      </c>
      <c r="B6" s="8" t="inlineStr">
        <is>
          <t>달성률(오류 처리)</t>
        </is>
      </c>
      <c r="C6" s="7" t="inlineStr">
        <is>
          <t>D2 → D6</t>
        </is>
      </c>
      <c r="D6" s="9">
        <f>'03 달성률오류 처리'!I7</f>
        <v/>
      </c>
    </row>
    <row r="7">
      <c r="A7" s="7" t="n">
        <v>4</v>
      </c>
      <c r="B7" s="8" t="inlineStr">
        <is>
          <t>점수 등급(중첩 IF)</t>
        </is>
      </c>
      <c r="C7" s="7" t="inlineStr">
        <is>
          <t>C2 → C7</t>
        </is>
      </c>
      <c r="D7" s="9">
        <f>'04 점수 등급중첩 IF'!I7</f>
        <v/>
      </c>
    </row>
    <row r="8">
      <c r="A8" s="7" t="n">
        <v>5</v>
      </c>
      <c r="B8" s="8" t="inlineStr">
        <is>
          <t>통과 판정(OR)</t>
        </is>
      </c>
      <c r="C8" s="7" t="inlineStr">
        <is>
          <t>D2 → D6</t>
        </is>
      </c>
      <c r="D8" s="9">
        <f>'05 통과 판정OR'!I7</f>
        <v/>
      </c>
    </row>
    <row r="9">
      <c r="A9" s="7" t="n">
        <v>6</v>
      </c>
      <c r="B9" s="8" t="inlineStr">
        <is>
          <t>조건 세 개를 중첩</t>
        </is>
      </c>
      <c r="C9" s="7" t="inlineStr">
        <is>
          <t>C2 → C7</t>
        </is>
      </c>
      <c r="D9" s="9">
        <f>'06 조건 세 개를 중첩'!I7</f>
        <v/>
      </c>
    </row>
    <row r="10">
      <c r="A10" s="7" t="n">
        <v>7</v>
      </c>
      <c r="B10" s="8" t="inlineStr">
        <is>
          <t>AND와 OR를 같이</t>
        </is>
      </c>
      <c r="C10" s="7" t="inlineStr">
        <is>
          <t>E2 → E6</t>
        </is>
      </c>
      <c r="D10" s="9">
        <f>'07 AND와 OR를 같이'!I7</f>
        <v/>
      </c>
    </row>
    <row r="11">
      <c r="A11" s="7" t="n">
        <v>8</v>
      </c>
      <c r="B11" s="8" t="inlineStr">
        <is>
          <t>나눗셈 오류 막기</t>
        </is>
      </c>
      <c r="C11" s="7" t="inlineStr">
        <is>
          <t>D2 → D6</t>
        </is>
      </c>
      <c r="D11" s="9">
        <f>'08 나눗셈 오류 막기'!I7</f>
        <v/>
      </c>
    </row>
    <row r="12">
      <c r="A12" s="7" t="n">
        <v>9</v>
      </c>
      <c r="B12" s="8" t="inlineStr">
        <is>
          <t>기준 불량률 칸으로 판정</t>
        </is>
      </c>
      <c r="C12" s="7" t="inlineStr">
        <is>
          <t>D2 → D6</t>
        </is>
      </c>
      <c r="D12" s="9">
        <f>'09 기준 불량률 칸으로 판정'!I7</f>
        <v/>
      </c>
    </row>
    <row r="14">
      <c r="B14" s="10" t="inlineStr">
        <is>
          <t>맞은 문제</t>
        </is>
      </c>
      <c r="D14" s="11">
        <f>COUNTIF(D4:D12,"*맞음*")&amp;" / 9"</f>
        <v/>
      </c>
    </row>
  </sheetData>
  <mergeCells count="1">
    <mergeCell ref="A1:D1"/>
  </mergeCells>
  <conditionalFormatting sqref="D4:D12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E1" s="12" t="inlineStr">
        <is>
          <t>총점</t>
        </is>
      </c>
      <c r="F1" s="12" t="inlineStr">
        <is>
          <t>판정</t>
        </is>
      </c>
      <c r="H1" s="13" t="inlineStr">
        <is>
          <t>1번 · 합격/재시험 판정</t>
        </is>
      </c>
    </row>
    <row r="2" ht="22" customHeight="1">
      <c r="A2" s="7" t="inlineStr">
        <is>
          <t>김한별</t>
        </is>
      </c>
      <c r="B2" s="7" t="n">
        <v>80</v>
      </c>
      <c r="C2" s="7" t="n">
        <v>90</v>
      </c>
      <c r="D2" s="7" t="n">
        <v>75</v>
      </c>
      <c r="E2" s="7" t="n">
        <v>245</v>
      </c>
      <c r="F2" s="14" t="n">
        <v>0</v>
      </c>
      <c r="H2" s="15" t="inlineStr">
        <is>
          <t>총점[E2:E7]이 240 이상이면 "합격", 아니면 "재시험"을 [F2:F7]에 표시하시오.</t>
        </is>
      </c>
      <c r="AA2">
        <f>IF(E2&gt;=240,"합격","재시험")</f>
        <v/>
      </c>
      <c r="AB2">
        <f>AND(_xlfn.ISFORMULA(F2),IFERROR(ROUND(F2,4)=ROUND(AA2,4),EXACT(F2,AA2)))</f>
        <v/>
      </c>
    </row>
    <row r="3" ht="22" customHeight="1">
      <c r="A3" s="7" t="inlineStr">
        <is>
          <t>이서윤</t>
        </is>
      </c>
      <c r="B3" s="7" t="n">
        <v>80</v>
      </c>
      <c r="C3" s="7" t="n">
        <v>80</v>
      </c>
      <c r="D3" s="7" t="n">
        <v>80</v>
      </c>
      <c r="E3" s="7" t="n">
        <v>240</v>
      </c>
      <c r="F3" s="14" t="n">
        <v>0</v>
      </c>
      <c r="AA3">
        <f>IF(E3&gt;=240,"합격","재시험")</f>
        <v/>
      </c>
      <c r="AB3">
        <f>AND(_xlfn.ISFORMULA(F3),IFERROR(ROUND(F3,4)=ROUND(AA3,4),EXACT(F3,AA3)))</f>
        <v/>
      </c>
    </row>
    <row r="4" ht="22" customHeight="1">
      <c r="A4" s="7" t="inlineStr">
        <is>
          <t>박도현</t>
        </is>
      </c>
      <c r="B4" s="7" t="n">
        <v>70</v>
      </c>
      <c r="C4" s="7" t="n">
        <v>85</v>
      </c>
      <c r="D4" s="7" t="n">
        <v>84</v>
      </c>
      <c r="E4" s="7" t="n">
        <v>239</v>
      </c>
      <c r="F4" s="14" t="n">
        <v>0</v>
      </c>
      <c r="AA4">
        <f>IF(E4&gt;=240,"합격","재시험")</f>
        <v/>
      </c>
      <c r="AB4">
        <f>AND(_xlfn.ISFORMULA(F4),IFERROR(ROUND(F4,4)=ROUND(AA4,4),EXACT(F4,AA4)))</f>
        <v/>
      </c>
    </row>
    <row r="5" ht="20" customHeight="1">
      <c r="A5" s="7" t="inlineStr">
        <is>
          <t>최민재</t>
        </is>
      </c>
      <c r="B5" s="7" t="n">
        <v>95</v>
      </c>
      <c r="C5" s="7" t="n">
        <v>90</v>
      </c>
      <c r="D5" s="7" t="n">
        <v>92</v>
      </c>
      <c r="E5" s="7" t="n">
        <v>277</v>
      </c>
      <c r="F5" s="14" t="n">
        <v>0</v>
      </c>
      <c r="H5" s="16" t="inlineStr">
        <is>
          <t>① F2 의 0 을 지우고 수식을 넣습니다.
② 채우기 핸들(칸 오른쪽 아래 ■)을 F7 까지 끌어내립니다.</t>
        </is>
      </c>
      <c r="AA5">
        <f>IF(E5&gt;=240,"합격","재시험")</f>
        <v/>
      </c>
      <c r="AB5">
        <f>AND(_xlfn.ISFORMULA(F5),IFERROR(ROUND(F5,4)=ROUND(AA5,4),EXACT(F5,AA5)))</f>
        <v/>
      </c>
    </row>
    <row r="6" ht="20" customHeight="1">
      <c r="A6" s="7" t="inlineStr">
        <is>
          <t>정하린</t>
        </is>
      </c>
      <c r="B6" s="7" t="n">
        <v>60</v>
      </c>
      <c r="C6" s="7" t="n">
        <v>88</v>
      </c>
      <c r="D6" s="7" t="n">
        <v>70</v>
      </c>
      <c r="E6" s="7" t="n">
        <v>218</v>
      </c>
      <c r="F6" s="14" t="n">
        <v>0</v>
      </c>
      <c r="AA6">
        <f>IF(E6&gt;=240,"합격","재시험")</f>
        <v/>
      </c>
      <c r="AB6">
        <f>AND(_xlfn.ISFORMULA(F6),IFERROR(ROUND(F6,4)=ROUND(AA6,4),EXACT(F6,AA6)))</f>
        <v/>
      </c>
    </row>
    <row r="7" ht="24" customHeight="1">
      <c r="A7" s="7" t="inlineStr">
        <is>
          <t>윤지호</t>
        </is>
      </c>
      <c r="B7" s="7" t="n">
        <v>81</v>
      </c>
      <c r="C7" s="7" t="n">
        <v>79</v>
      </c>
      <c r="D7" s="7" t="n">
        <v>82</v>
      </c>
      <c r="E7" s="7" t="n">
        <v>242</v>
      </c>
      <c r="F7" s="14" t="n">
        <v>0</v>
      </c>
      <c r="H7" s="12" t="inlineStr">
        <is>
          <t>채점</t>
        </is>
      </c>
      <c r="I7" s="17">
        <f>IF(NOT(_xlfn.ISFORMULA(F2)),"↖ 0 지우고 수식",IF(COUNTIF(AB2:AB7,TRUE)=6,"✔ 맞음","✘ 다시 ("&amp;COUNTIF(AB2:AB7,TRUE)&amp;" / 6칸)"))</f>
        <v/>
      </c>
      <c r="J7" s="18" t="n"/>
      <c r="K7" s="18" t="n"/>
      <c r="AA7">
        <f>IF(E7&gt;=240,"합격","재시험")</f>
        <v/>
      </c>
      <c r="AB7">
        <f>AND(_xlfn.ISFORMULA(F7),IFERROR(ROUND(F7,4)=ROUND(AA7,4),EXACT(F7,AA7)))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IF(조건, 참일 때, 거짓일 때). 문자는 "큰따옴표"로.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E1" s="12" t="inlineStr">
        <is>
          <t>평가</t>
        </is>
      </c>
      <c r="H1" s="13" t="inlineStr">
        <is>
          <t>2번 · 우수 판정</t>
        </is>
      </c>
    </row>
    <row r="2" ht="22" customHeight="1">
      <c r="A2" s="7" t="inlineStr">
        <is>
          <t>이보람</t>
        </is>
      </c>
      <c r="B2" s="7" t="n">
        <v>85</v>
      </c>
      <c r="C2" s="7" t="n">
        <v>90</v>
      </c>
      <c r="D2" s="7" t="n">
        <v>80</v>
      </c>
      <c r="E2" s="14" t="n">
        <v>0</v>
      </c>
      <c r="H2" s="15" t="inlineStr">
        <is>
          <t>국어·영어·수학[B2:D6]이 모두 80 이상이면 "우수", 아니면 공백("")을 [E2:E6]에 표시하시오.</t>
        </is>
      </c>
      <c r="AA2">
        <f>IF(AND(B2&gt;=80,C2&gt;=80,D2&gt;=80),"우수","")</f>
        <v/>
      </c>
      <c r="AB2">
        <f>AND(_xlfn.ISFORMULA(E2),IFERROR(ROUND(E2,4)=ROUND(AA2,4),EXACT(E2,AA2)))</f>
        <v/>
      </c>
    </row>
    <row r="3" ht="22" customHeight="1">
      <c r="A3" s="7" t="inlineStr">
        <is>
          <t>김도윤</t>
        </is>
      </c>
      <c r="B3" s="7" t="n">
        <v>92</v>
      </c>
      <c r="C3" s="7" t="n">
        <v>78</v>
      </c>
      <c r="D3" s="7" t="n">
        <v>88</v>
      </c>
      <c r="E3" s="14" t="n">
        <v>0</v>
      </c>
      <c r="AA3">
        <f>IF(AND(B3&gt;=80,C3&gt;=80,D3&gt;=80),"우수","")</f>
        <v/>
      </c>
      <c r="AB3">
        <f>AND(_xlfn.ISFORMULA(E3),IFERROR(ROUND(E3,4)=ROUND(AA3,4),EXACT(E3,AA3)))</f>
        <v/>
      </c>
    </row>
    <row r="4" ht="22" customHeight="1">
      <c r="A4" s="7" t="inlineStr">
        <is>
          <t>최서아</t>
        </is>
      </c>
      <c r="B4" s="7" t="n">
        <v>80</v>
      </c>
      <c r="C4" s="7" t="n">
        <v>80</v>
      </c>
      <c r="D4" s="7" t="n">
        <v>80</v>
      </c>
      <c r="E4" s="14" t="n">
        <v>0</v>
      </c>
      <c r="AA4">
        <f>IF(AND(B4&gt;=80,C4&gt;=80,D4&gt;=80),"우수","")</f>
        <v/>
      </c>
      <c r="AB4">
        <f>AND(_xlfn.ISFORMULA(E4),IFERROR(ROUND(E4,4)=ROUND(AA4,4),EXACT(E4,AA4)))</f>
        <v/>
      </c>
    </row>
    <row r="5" ht="20" customHeight="1">
      <c r="A5" s="7" t="inlineStr">
        <is>
          <t>한지민</t>
        </is>
      </c>
      <c r="B5" s="7" t="n">
        <v>95</v>
      </c>
      <c r="C5" s="7" t="n">
        <v>99</v>
      </c>
      <c r="D5" s="7" t="n">
        <v>79</v>
      </c>
      <c r="E5" s="14" t="n">
        <v>0</v>
      </c>
      <c r="H5" s="16" t="inlineStr">
        <is>
          <t>① E2 의 0 을 지우고 수식을 넣습니다.
② 채우기 핸들(칸 오른쪽 아래 ■)을 E6 까지 끌어내립니다.</t>
        </is>
      </c>
      <c r="AA5">
        <f>IF(AND(B5&gt;=80,C5&gt;=80,D5&gt;=80),"우수","")</f>
        <v/>
      </c>
      <c r="AB5">
        <f>AND(_xlfn.ISFORMULA(E5),IFERROR(ROUND(E5,4)=ROUND(AA5,4),EXACT(E5,AA5)))</f>
        <v/>
      </c>
    </row>
    <row r="6" ht="20" customHeight="1">
      <c r="A6" s="7" t="inlineStr">
        <is>
          <t>오세훈</t>
        </is>
      </c>
      <c r="B6" s="7" t="n">
        <v>88</v>
      </c>
      <c r="C6" s="7" t="n">
        <v>83</v>
      </c>
      <c r="D6" s="7" t="n">
        <v>91</v>
      </c>
      <c r="E6" s="14" t="n">
        <v>0</v>
      </c>
      <c r="AA6">
        <f>IF(AND(B6&gt;=80,C6&gt;=80,D6&gt;=80),"우수","")</f>
        <v/>
      </c>
      <c r="AB6">
        <f>AND(_xlfn.ISFORMULA(E6),IFERROR(ROUND(E6,4)=ROUND(AA6,4),EXACT(E6,AA6)))</f>
        <v/>
      </c>
    </row>
    <row r="7" ht="24" customHeight="1">
      <c r="H7" s="12" t="inlineStr">
        <is>
          <t>채점</t>
        </is>
      </c>
      <c r="I7" s="17">
        <f>IF(NOT(_xlfn.ISFORMULA(E2)),"↖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AND(조건1, 조건2, 조건3)은 모두 참일 때만 TRUE.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목표</t>
        </is>
      </c>
      <c r="C1" s="12" t="inlineStr">
        <is>
          <t>실적</t>
        </is>
      </c>
      <c r="D1" s="12" t="inlineStr">
        <is>
          <t>달성률</t>
        </is>
      </c>
      <c r="H1" s="13" t="inlineStr">
        <is>
          <t>3번 · 달성률(오류 처리)</t>
        </is>
      </c>
    </row>
    <row r="2" ht="22" customHeight="1">
      <c r="A2" s="7" t="inlineStr">
        <is>
          <t>김</t>
        </is>
      </c>
      <c r="B2" s="7" t="n">
        <v>200</v>
      </c>
      <c r="C2" s="7" t="n">
        <v>180</v>
      </c>
      <c r="D2" s="14" t="n">
        <v>0</v>
      </c>
      <c r="H2" s="15" t="inlineStr">
        <is>
          <t>실적[C2:C6]÷목표[B2:B6]×100을 정수로 반올림해 달성률을 [D2:D6]에 구하되, 오류가 나면 "-"를 표시하시오.</t>
        </is>
      </c>
      <c r="AA2">
        <f>IFERROR(ROUND(C2/B2*100,0),"-")</f>
        <v/>
      </c>
      <c r="AB2">
        <f>AND(_xlfn.ISFORMULA(D2),IFERROR(ROUND(D2,4)=ROUND(AA2,4),EXACT(D2,AA2)))</f>
        <v/>
      </c>
    </row>
    <row r="3" ht="22" customHeight="1">
      <c r="A3" s="7" t="inlineStr">
        <is>
          <t>이</t>
        </is>
      </c>
      <c r="B3" s="7" t="n">
        <v>150</v>
      </c>
      <c r="C3" s="7" t="n">
        <v>168</v>
      </c>
      <c r="D3" s="14" t="n">
        <v>0</v>
      </c>
      <c r="AA3">
        <f>IFERROR(ROUND(C3/B3*100,0),"-")</f>
        <v/>
      </c>
      <c r="AB3">
        <f>AND(_xlfn.ISFORMULA(D3),IFERROR(ROUND(D3,4)=ROUND(AA3,4),EXACT(D3,AA3)))</f>
        <v/>
      </c>
    </row>
    <row r="4" ht="22" customHeight="1">
      <c r="A4" s="7" t="inlineStr">
        <is>
          <t>박</t>
        </is>
      </c>
      <c r="B4" s="7" t="n">
        <v>0</v>
      </c>
      <c r="C4" s="7" t="n">
        <v>40</v>
      </c>
      <c r="D4" s="14" t="n">
        <v>0</v>
      </c>
      <c r="AA4">
        <f>IFERROR(ROUND(C4/B4*100,0),"-")</f>
        <v/>
      </c>
      <c r="AB4">
        <f>AND(_xlfn.ISFORMULA(D4),IFERROR(ROUND(D4,4)=ROUND(AA4,4),EXACT(D4,AA4)))</f>
        <v/>
      </c>
    </row>
    <row r="5" ht="20" customHeight="1">
      <c r="A5" s="7" t="inlineStr">
        <is>
          <t>최</t>
        </is>
      </c>
      <c r="B5" s="7" t="n">
        <v>80</v>
      </c>
      <c r="C5" s="7" t="n">
        <v>80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IFERROR(ROUND(C5/B5*100,0),"-")</f>
        <v/>
      </c>
      <c r="AB5">
        <f>AND(_xlfn.ISFORMULA(D5),IFERROR(ROUND(D5,4)=ROUND(AA5,4),EXACT(D5,AA5)))</f>
        <v/>
      </c>
    </row>
    <row r="6" ht="20" customHeight="1">
      <c r="A6" s="7" t="inlineStr">
        <is>
          <t>정</t>
        </is>
      </c>
      <c r="B6" s="7" t="n">
        <v>300</v>
      </c>
      <c r="C6" s="7" t="n">
        <v>211</v>
      </c>
      <c r="D6" s="14" t="n">
        <v>0</v>
      </c>
      <c r="AA6">
        <f>IFERROR(ROUND(C6/B6*100,0),"-")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IFERROR(수식, "-"). 반올림은 ROUND(값, 0).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등급</t>
        </is>
      </c>
      <c r="H1" s="13" t="inlineStr">
        <is>
          <t>4번 · 점수 등급(중첩 IF)</t>
        </is>
      </c>
    </row>
    <row r="2" ht="22" customHeight="1">
      <c r="A2" s="7" t="inlineStr">
        <is>
          <t>가온</t>
        </is>
      </c>
      <c r="B2" s="7" t="n">
        <v>92</v>
      </c>
      <c r="C2" s="14" t="n">
        <v>0</v>
      </c>
      <c r="H2" s="15" t="inlineStr">
        <is>
          <t>점수[B2:B7]가 90 이상이면 "A", 80 이상이면 "B", 그 외 "C"를 [C2:C7]에 표시하시오.</t>
        </is>
      </c>
      <c r="AA2">
        <f>IF(B2&gt;=90,"A",IF(B2&gt;=80,"B","C"))</f>
        <v/>
      </c>
      <c r="AB2">
        <f>AND(_xlfn.ISFORMULA(C2),IFERROR(ROUND(C2,4)=ROUND(AA2,4),EXACT(C2,AA2)))</f>
        <v/>
      </c>
    </row>
    <row r="3" ht="22" customHeight="1">
      <c r="A3" s="7" t="inlineStr">
        <is>
          <t>나래</t>
        </is>
      </c>
      <c r="B3" s="7" t="n">
        <v>90</v>
      </c>
      <c r="C3" s="14" t="n">
        <v>0</v>
      </c>
      <c r="AA3">
        <f>IF(B3&gt;=90,"A",IF(B3&gt;=80,"B","C"))</f>
        <v/>
      </c>
      <c r="AB3">
        <f>AND(_xlfn.ISFORMULA(C3),IFERROR(ROUND(C3,4)=ROUND(AA3,4),EXACT(C3,AA3)))</f>
        <v/>
      </c>
    </row>
    <row r="4" ht="22" customHeight="1">
      <c r="A4" s="7" t="inlineStr">
        <is>
          <t>다온</t>
        </is>
      </c>
      <c r="B4" s="7" t="n">
        <v>79</v>
      </c>
      <c r="C4" s="14" t="n">
        <v>0</v>
      </c>
      <c r="AA4">
        <f>IF(B4&gt;=90,"A",IF(B4&gt;=80,"B","C"))</f>
        <v/>
      </c>
      <c r="AB4">
        <f>AND(_xlfn.ISFORMULA(C4),IFERROR(ROUND(C4,4)=ROUND(AA4,4),EXACT(C4,AA4)))</f>
        <v/>
      </c>
    </row>
    <row r="5" ht="20" customHeight="1">
      <c r="A5" s="7" t="inlineStr">
        <is>
          <t>라희</t>
        </is>
      </c>
      <c r="B5" s="7" t="n">
        <v>80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IF(B5&gt;=90,"A",IF(B5&gt;=80,"B","C"))</f>
        <v/>
      </c>
      <c r="AB5">
        <f>AND(_xlfn.ISFORMULA(C5),IFERROR(ROUND(C5,4)=ROUND(AA5,4),EXACT(C5,AA5)))</f>
        <v/>
      </c>
    </row>
    <row r="6" ht="20" customHeight="1">
      <c r="A6" s="7" t="inlineStr">
        <is>
          <t>마루</t>
        </is>
      </c>
      <c r="B6" s="7" t="n">
        <v>55</v>
      </c>
      <c r="C6" s="14" t="n">
        <v>0</v>
      </c>
      <c r="AA6">
        <f>IF(B6&gt;=90,"A",IF(B6&gt;=80,"B","C"))</f>
        <v/>
      </c>
      <c r="AB6">
        <f>AND(_xlfn.ISFORMULA(C6),IFERROR(ROUND(C6,4)=ROUND(AA6,4),EXACT(C6,AA6)))</f>
        <v/>
      </c>
    </row>
    <row r="7" ht="24" customHeight="1">
      <c r="A7" s="7" t="inlineStr">
        <is>
          <t>바다</t>
        </is>
      </c>
      <c r="B7" s="7" t="n">
        <v>89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IF(B7&gt;=90,"A",IF(B7&gt;=80,"B","C"))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IF 안에 IF를 넣어 세 단계로 판정.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출석</t>
        </is>
      </c>
      <c r="C1" s="12" t="inlineStr">
        <is>
          <t>과제</t>
        </is>
      </c>
      <c r="D1" s="12" t="inlineStr">
        <is>
          <t>결과</t>
        </is>
      </c>
      <c r="H1" s="13" t="inlineStr">
        <is>
          <t>5번 · 통과 판정(OR)</t>
        </is>
      </c>
    </row>
    <row r="2" ht="22" customHeight="1">
      <c r="A2" s="7" t="inlineStr">
        <is>
          <t>나래</t>
        </is>
      </c>
      <c r="B2" s="7" t="n">
        <v>16</v>
      </c>
      <c r="C2" s="7" t="n">
        <v>5</v>
      </c>
      <c r="D2" s="14" t="n">
        <v>0</v>
      </c>
      <c r="H2" s="15" t="inlineStr">
        <is>
          <t>출석[B2:B6]이 15 이상이거나 과제[C2:C6]가 8 이상이면 "통과", 아니면 "미달"을 [D2:D6]에 표시하시오.</t>
        </is>
      </c>
      <c r="AA2">
        <f>IF(OR(B2&gt;=15,C2&gt;=8),"통과","미달")</f>
        <v/>
      </c>
      <c r="AB2">
        <f>AND(_xlfn.ISFORMULA(D2),IFERROR(ROUND(D2,4)=ROUND(AA2,4),EXACT(D2,AA2)))</f>
        <v/>
      </c>
    </row>
    <row r="3" ht="22" customHeight="1">
      <c r="A3" s="7" t="inlineStr">
        <is>
          <t>다온</t>
        </is>
      </c>
      <c r="B3" s="7" t="n">
        <v>15</v>
      </c>
      <c r="C3" s="7" t="n">
        <v>3</v>
      </c>
      <c r="D3" s="14" t="n">
        <v>0</v>
      </c>
      <c r="AA3">
        <f>IF(OR(B3&gt;=15,C3&gt;=8),"통과","미달")</f>
        <v/>
      </c>
      <c r="AB3">
        <f>AND(_xlfn.ISFORMULA(D3),IFERROR(ROUND(D3,4)=ROUND(AA3,4),EXACT(D3,AA3)))</f>
        <v/>
      </c>
    </row>
    <row r="4" ht="22" customHeight="1">
      <c r="A4" s="7" t="inlineStr">
        <is>
          <t>라희</t>
        </is>
      </c>
      <c r="B4" s="7" t="n">
        <v>10</v>
      </c>
      <c r="C4" s="7" t="n">
        <v>8</v>
      </c>
      <c r="D4" s="14" t="n">
        <v>0</v>
      </c>
      <c r="AA4">
        <f>IF(OR(B4&gt;=15,C4&gt;=8),"통과","미달")</f>
        <v/>
      </c>
      <c r="AB4">
        <f>AND(_xlfn.ISFORMULA(D4),IFERROR(ROUND(D4,4)=ROUND(AA4,4),EXACT(D4,AA4)))</f>
        <v/>
      </c>
    </row>
    <row r="5" ht="20" customHeight="1">
      <c r="A5" s="7" t="inlineStr">
        <is>
          <t>마루</t>
        </is>
      </c>
      <c r="B5" s="7" t="n">
        <v>12</v>
      </c>
      <c r="C5" s="7" t="n">
        <v>7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IF(OR(B5&gt;=15,C5&gt;=8),"통과","미달")</f>
        <v/>
      </c>
      <c r="AB5">
        <f>AND(_xlfn.ISFORMULA(D5),IFERROR(ROUND(D5,4)=ROUND(AA5,4),EXACT(D5,AA5)))</f>
        <v/>
      </c>
    </row>
    <row r="6" ht="20" customHeight="1">
      <c r="A6" s="7" t="inlineStr">
        <is>
          <t>바다</t>
        </is>
      </c>
      <c r="B6" s="7" t="n">
        <v>14</v>
      </c>
      <c r="C6" s="7" t="n">
        <v>8</v>
      </c>
      <c r="D6" s="14" t="n">
        <v>0</v>
      </c>
      <c r="AA6">
        <f>IF(OR(B6&gt;=15,C6&gt;=8),"통과","미달")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OR(조건1, 조건2)은 하나라도 참이면 TRUE.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등급</t>
        </is>
      </c>
      <c r="H1" s="13" t="inlineStr">
        <is>
          <t>6번 · 조건 세 개를 중첩</t>
        </is>
      </c>
    </row>
    <row r="2" ht="22" customHeight="1">
      <c r="A2" s="7" t="inlineStr">
        <is>
          <t>김한별</t>
        </is>
      </c>
      <c r="B2" s="7" t="n">
        <v>76</v>
      </c>
      <c r="C2" s="14" t="n">
        <v>0</v>
      </c>
      <c r="H2" s="15" t="inlineStr">
        <is>
          <t>점수[B2:B7]가 90 이상 "A", 80 이상 "B", 70 이상 "C", 그 외는 "D"를 [C2:C7]에 표시하시오.</t>
        </is>
      </c>
      <c r="AA2">
        <f>IF(B2&gt;=90,"A",IF(B2&gt;=80,"B",IF(B2&gt;=70,"C","D")))</f>
        <v/>
      </c>
      <c r="AB2">
        <f>AND(_xlfn.ISFORMULA(C2),IFERROR(ROUND(C2,4)=ROUND(AA2,4),EXACT(C2,AA2)))</f>
        <v/>
      </c>
    </row>
    <row r="3" ht="22" customHeight="1">
      <c r="A3" s="7" t="inlineStr">
        <is>
          <t>이보람</t>
        </is>
      </c>
      <c r="B3" s="7" t="n">
        <v>90</v>
      </c>
      <c r="C3" s="14" t="n">
        <v>0</v>
      </c>
      <c r="AA3">
        <f>IF(B3&gt;=90,"A",IF(B3&gt;=80,"B",IF(B3&gt;=70,"C","D")))</f>
        <v/>
      </c>
      <c r="AB3">
        <f>AND(_xlfn.ISFORMULA(C3),IFERROR(ROUND(C3,4)=ROUND(AA3,4),EXACT(C3,AA3)))</f>
        <v/>
      </c>
    </row>
    <row r="4" ht="22" customHeight="1">
      <c r="A4" s="7" t="inlineStr">
        <is>
          <t>정하늘</t>
        </is>
      </c>
      <c r="B4" s="7" t="n">
        <v>69</v>
      </c>
      <c r="C4" s="14" t="n">
        <v>0</v>
      </c>
      <c r="AA4">
        <f>IF(B4&gt;=90,"A",IF(B4&gt;=80,"B",IF(B4&gt;=70,"C","D")))</f>
        <v/>
      </c>
      <c r="AB4">
        <f>AND(_xlfn.ISFORMULA(C4),IFERROR(ROUND(C4,4)=ROUND(AA4,4),EXACT(C4,AA4)))</f>
        <v/>
      </c>
    </row>
    <row r="5" ht="20" customHeight="1">
      <c r="A5" s="7" t="inlineStr">
        <is>
          <t>한겨울</t>
        </is>
      </c>
      <c r="B5" s="7" t="n">
        <v>80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IF(B5&gt;=90,"A",IF(B5&gt;=80,"B",IF(B5&gt;=70,"C","D")))</f>
        <v/>
      </c>
      <c r="AB5">
        <f>AND(_xlfn.ISFORMULA(C5),IFERROR(ROUND(C5,4)=ROUND(AA5,4),EXACT(C5,AA5)))</f>
        <v/>
      </c>
    </row>
    <row r="6" ht="20" customHeight="1">
      <c r="A6" s="7" t="inlineStr">
        <is>
          <t>서지호</t>
        </is>
      </c>
      <c r="B6" s="7" t="n">
        <v>70</v>
      </c>
      <c r="C6" s="14" t="n">
        <v>0</v>
      </c>
      <c r="AA6">
        <f>IF(B6&gt;=90,"A",IF(B6&gt;=80,"B",IF(B6&gt;=70,"C","D")))</f>
        <v/>
      </c>
      <c r="AB6">
        <f>AND(_xlfn.ISFORMULA(C6),IFERROR(ROUND(C6,4)=ROUND(AA6,4),EXACT(C6,AA6)))</f>
        <v/>
      </c>
    </row>
    <row r="7" ht="24" customHeight="1">
      <c r="A7" s="7" t="inlineStr">
        <is>
          <t>윤채원</t>
        </is>
      </c>
      <c r="B7" s="7" t="n">
        <v>100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IF(B7&gt;=90,"A",IF(B7&gt;=80,"B",IF(B7&gt;=70,"C","D")))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큰 조건부터 차례로 씁니다.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출석</t>
        </is>
      </c>
      <c r="C1" s="12" t="inlineStr">
        <is>
          <t>과제</t>
        </is>
      </c>
      <c r="D1" s="12" t="inlineStr">
        <is>
          <t>시험</t>
        </is>
      </c>
      <c r="E1" s="12" t="inlineStr">
        <is>
          <t>결과</t>
        </is>
      </c>
      <c r="H1" s="13" t="inlineStr">
        <is>
          <t>7번 · AND와 OR를 같이</t>
        </is>
      </c>
    </row>
    <row r="2" ht="22" customHeight="1">
      <c r="A2" s="7" t="inlineStr">
        <is>
          <t>김한별</t>
        </is>
      </c>
      <c r="B2" s="7" t="n">
        <v>18</v>
      </c>
      <c r="C2" s="7" t="n">
        <v>9</v>
      </c>
      <c r="D2" s="7" t="n">
        <v>55</v>
      </c>
      <c r="E2" s="14" t="n">
        <v>0</v>
      </c>
      <c r="H2" s="15" t="inlineStr">
        <is>
          <t>출석[B2:B6]이 15 이상이고, 과제[C2:C6]가 8 이상이거나 시험[D2:D6]이 60 이상이면 "이수", 아니면 "미이수"를 [E2:E6]에 표시하시오.</t>
        </is>
      </c>
      <c r="AA2">
        <f>IF(AND(B2&gt;=15,OR(C2&gt;=8,D2&gt;=60)),"이수","미이수")</f>
        <v/>
      </c>
      <c r="AB2">
        <f>AND(_xlfn.ISFORMULA(E2),IFERROR(ROUND(E2,4)=ROUND(AA2,4),EXACT(E2,AA2)))</f>
        <v/>
      </c>
    </row>
    <row r="3" ht="22" customHeight="1">
      <c r="A3" s="7" t="inlineStr">
        <is>
          <t>이보람</t>
        </is>
      </c>
      <c r="B3" s="7" t="n">
        <v>14</v>
      </c>
      <c r="C3" s="7" t="n">
        <v>10</v>
      </c>
      <c r="D3" s="7" t="n">
        <v>90</v>
      </c>
      <c r="E3" s="14" t="n">
        <v>0</v>
      </c>
      <c r="AA3">
        <f>IF(AND(B3&gt;=15,OR(C3&gt;=8,D3&gt;=60)),"이수","미이수")</f>
        <v/>
      </c>
      <c r="AB3">
        <f>AND(_xlfn.ISFORMULA(E3),IFERROR(ROUND(E3,4)=ROUND(AA3,4),EXACT(E3,AA3)))</f>
        <v/>
      </c>
    </row>
    <row r="4" ht="22" customHeight="1">
      <c r="A4" s="7" t="inlineStr">
        <is>
          <t>정하늘</t>
        </is>
      </c>
      <c r="B4" s="7" t="n">
        <v>15</v>
      </c>
      <c r="C4" s="7" t="n">
        <v>7</v>
      </c>
      <c r="D4" s="7" t="n">
        <v>60</v>
      </c>
      <c r="E4" s="14" t="n">
        <v>0</v>
      </c>
      <c r="AA4">
        <f>IF(AND(B4&gt;=15,OR(C4&gt;=8,D4&gt;=60)),"이수","미이수")</f>
        <v/>
      </c>
      <c r="AB4">
        <f>AND(_xlfn.ISFORMULA(E4),IFERROR(ROUND(E4,4)=ROUND(AA4,4),EXACT(E4,AA4)))</f>
        <v/>
      </c>
    </row>
    <row r="5" ht="20" customHeight="1">
      <c r="A5" s="7" t="inlineStr">
        <is>
          <t>한겨울</t>
        </is>
      </c>
      <c r="B5" s="7" t="n">
        <v>20</v>
      </c>
      <c r="C5" s="7" t="n">
        <v>5</v>
      </c>
      <c r="D5" s="7" t="n">
        <v>59</v>
      </c>
      <c r="E5" s="14" t="n">
        <v>0</v>
      </c>
      <c r="H5" s="16" t="inlineStr">
        <is>
          <t>① E2 의 0 을 지우고 수식을 넣습니다.
② 채우기 핸들(칸 오른쪽 아래 ■)을 E6 까지 끌어내립니다.</t>
        </is>
      </c>
      <c r="AA5">
        <f>IF(AND(B5&gt;=15,OR(C5&gt;=8,D5&gt;=60)),"이수","미이수")</f>
        <v/>
      </c>
      <c r="AB5">
        <f>AND(_xlfn.ISFORMULA(E5),IFERROR(ROUND(E5,4)=ROUND(AA5,4),EXACT(E5,AA5)))</f>
        <v/>
      </c>
    </row>
    <row r="6" ht="20" customHeight="1">
      <c r="A6" s="7" t="inlineStr">
        <is>
          <t>서지호</t>
        </is>
      </c>
      <c r="B6" s="7" t="n">
        <v>15</v>
      </c>
      <c r="C6" s="7" t="n">
        <v>8</v>
      </c>
      <c r="D6" s="7" t="n">
        <v>0</v>
      </c>
      <c r="E6" s="14" t="n">
        <v>0</v>
      </c>
      <c r="AA6">
        <f>IF(AND(B6&gt;=15,OR(C6&gt;=8,D6&gt;=60)),"이수","미이수")</f>
        <v/>
      </c>
      <c r="AB6">
        <f>AND(_xlfn.ISFORMULA(E6),IFERROR(ROUND(E6,4)=ROUND(AA6,4),EXACT(E6,AA6)))</f>
        <v/>
      </c>
    </row>
    <row r="7" ht="24" customHeight="1">
      <c r="H7" s="12" t="inlineStr">
        <is>
          <t>채점</t>
        </is>
      </c>
      <c r="I7" s="17">
        <f>IF(NOT(_xlfn.ISFORMULA(E2)),"↖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AND 안에 OR를 넣어 묶습니다.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시도</t>
        </is>
      </c>
      <c r="C1" s="12" t="inlineStr">
        <is>
          <t>성공</t>
        </is>
      </c>
      <c r="D1" s="12" t="inlineStr">
        <is>
          <t>성공률</t>
        </is>
      </c>
      <c r="H1" s="13" t="inlineStr">
        <is>
          <t>8번 · 나눗셈 오류 막기</t>
        </is>
      </c>
    </row>
    <row r="2" ht="22" customHeight="1">
      <c r="A2" s="7" t="inlineStr">
        <is>
          <t>김한별</t>
        </is>
      </c>
      <c r="B2" s="7" t="n">
        <v>0</v>
      </c>
      <c r="C2" s="7" t="n">
        <v>0</v>
      </c>
      <c r="D2" s="14" t="n">
        <v>0</v>
      </c>
      <c r="H2" s="15" t="inlineStr">
        <is>
          <t>성공[C2:C6]÷시도[B2:B6]를 백분율 정수로 구하되, 오류가 나면 0을 [D2:D6]에 표시하시오.</t>
        </is>
      </c>
      <c r="AA2">
        <f>IFERROR(ROUND(C2/B2*100,0),0)</f>
        <v/>
      </c>
      <c r="AB2">
        <f>AND(_xlfn.ISFORMULA(D2),IFERROR(ROUND(D2,4)=ROUND(AA2,4),EXACT(D2,AA2)))</f>
        <v/>
      </c>
    </row>
    <row r="3" ht="22" customHeight="1">
      <c r="A3" s="7" t="inlineStr">
        <is>
          <t>이보람</t>
        </is>
      </c>
      <c r="B3" s="7" t="n">
        <v>20</v>
      </c>
      <c r="C3" s="7" t="n">
        <v>17</v>
      </c>
      <c r="D3" s="14" t="n">
        <v>0</v>
      </c>
      <c r="AA3">
        <f>IFERROR(ROUND(C3/B3*100,0),0)</f>
        <v/>
      </c>
      <c r="AB3">
        <f>AND(_xlfn.ISFORMULA(D3),IFERROR(ROUND(D3,4)=ROUND(AA3,4),EXACT(D3,AA3)))</f>
        <v/>
      </c>
    </row>
    <row r="4" ht="22" customHeight="1">
      <c r="A4" s="7" t="inlineStr">
        <is>
          <t>정하늘</t>
        </is>
      </c>
      <c r="B4" s="7" t="n">
        <v>8</v>
      </c>
      <c r="C4" s="7" t="n">
        <v>0</v>
      </c>
      <c r="D4" s="14" t="n">
        <v>0</v>
      </c>
      <c r="AA4">
        <f>IFERROR(ROUND(C4/B4*100,0),0)</f>
        <v/>
      </c>
      <c r="AB4">
        <f>AND(_xlfn.ISFORMULA(D4),IFERROR(ROUND(D4,4)=ROUND(AA4,4),EXACT(D4,AA4)))</f>
        <v/>
      </c>
    </row>
    <row r="5" ht="20" customHeight="1">
      <c r="A5" s="7" t="inlineStr">
        <is>
          <t>한겨울</t>
        </is>
      </c>
      <c r="B5" s="7" t="n">
        <v>0</v>
      </c>
      <c r="C5" s="7" t="n">
        <v>3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IFERROR(ROUND(C5/B5*100,0),0)</f>
        <v/>
      </c>
      <c r="AB5">
        <f>AND(_xlfn.ISFORMULA(D5),IFERROR(ROUND(D5,4)=ROUND(AA5,4),EXACT(D5,AA5)))</f>
        <v/>
      </c>
    </row>
    <row r="6" ht="20" customHeight="1">
      <c r="A6" s="7" t="inlineStr">
        <is>
          <t>서지호</t>
        </is>
      </c>
      <c r="B6" s="7" t="n">
        <v>3</v>
      </c>
      <c r="C6" s="7" t="n">
        <v>2</v>
      </c>
      <c r="D6" s="14" t="n">
        <v>0</v>
      </c>
      <c r="AA6">
        <f>IFERROR(ROUND(C6/B6*100,0),0)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0으로 나누면 #DIV/0! 오류가 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라인</t>
        </is>
      </c>
      <c r="B1" s="12" t="inlineStr">
        <is>
          <t>생산</t>
        </is>
      </c>
      <c r="C1" s="12" t="inlineStr">
        <is>
          <t>불량</t>
        </is>
      </c>
      <c r="D1" s="12" t="inlineStr">
        <is>
          <t>판정</t>
        </is>
      </c>
      <c r="H1" s="13" t="inlineStr">
        <is>
          <t>9번 · 기준 불량률 칸으로 판정</t>
        </is>
      </c>
    </row>
    <row r="2" ht="22" customHeight="1">
      <c r="A2" s="7" t="inlineStr">
        <is>
          <t>A</t>
        </is>
      </c>
      <c r="B2" s="7" t="n">
        <v>2500</v>
      </c>
      <c r="C2" s="7" t="n">
        <v>30</v>
      </c>
      <c r="D2" s="14" t="n">
        <v>0</v>
      </c>
      <c r="H2" s="15" t="inlineStr">
        <is>
          <t>불량[C2:C6]÷생산[B2:B6]이 기준 불량률[B8] 이하이면 "합격", 아니면 "재검"을 [D2:D6]에 표시하시오.</t>
        </is>
      </c>
      <c r="AA2">
        <f>IF(C2/B2&lt;=$B$8,"합격","재검")</f>
        <v/>
      </c>
      <c r="AB2">
        <f>AND(_xlfn.ISFORMULA(D2),IFERROR(ROUND(D2,4)=ROUND(AA2,4),EXACT(D2,AA2)))</f>
        <v/>
      </c>
    </row>
    <row r="3" ht="22" customHeight="1">
      <c r="A3" s="7" t="inlineStr">
        <is>
          <t>B</t>
        </is>
      </c>
      <c r="B3" s="7" t="n">
        <v>2000</v>
      </c>
      <c r="C3" s="7" t="n">
        <v>50</v>
      </c>
      <c r="D3" s="14" t="n">
        <v>0</v>
      </c>
      <c r="AA3">
        <f>IF(C3/B3&lt;=$B$8,"합격","재검")</f>
        <v/>
      </c>
      <c r="AB3">
        <f>AND(_xlfn.ISFORMULA(D3),IFERROR(ROUND(D3,4)=ROUND(AA3,4),EXACT(D3,AA3)))</f>
        <v/>
      </c>
    </row>
    <row r="4" ht="22" customHeight="1">
      <c r="A4" s="7" t="inlineStr">
        <is>
          <t>C</t>
        </is>
      </c>
      <c r="B4" s="7" t="n">
        <v>2500</v>
      </c>
      <c r="C4" s="7" t="n">
        <v>50</v>
      </c>
      <c r="D4" s="14" t="n">
        <v>0</v>
      </c>
      <c r="AA4">
        <f>IF(C4/B4&lt;=$B$8,"합격","재검")</f>
        <v/>
      </c>
      <c r="AB4">
        <f>AND(_xlfn.ISFORMULA(D4),IFERROR(ROUND(D4,4)=ROUND(AA4,4),EXACT(D4,AA4)))</f>
        <v/>
      </c>
    </row>
    <row r="5" ht="20" customHeight="1">
      <c r="A5" s="7" t="inlineStr">
        <is>
          <t>D</t>
        </is>
      </c>
      <c r="B5" s="7" t="n">
        <v>1600</v>
      </c>
      <c r="C5" s="7" t="n">
        <v>16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IF(C5/B5&lt;=$B$8,"합격","재검")</f>
        <v/>
      </c>
      <c r="AB5">
        <f>AND(_xlfn.ISFORMULA(D5),IFERROR(ROUND(D5,4)=ROUND(AA5,4),EXACT(D5,AA5)))</f>
        <v/>
      </c>
    </row>
    <row r="6" ht="20" customHeight="1">
      <c r="A6" s="7" t="inlineStr">
        <is>
          <t>E</t>
        </is>
      </c>
      <c r="B6" s="7" t="n">
        <v>2000</v>
      </c>
      <c r="C6" s="7" t="n">
        <v>41</v>
      </c>
      <c r="D6" s="14" t="n">
        <v>0</v>
      </c>
      <c r="AA6">
        <f>IF(C6/B6&lt;=$B$8,"합격","재검")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A8" s="7" t="inlineStr">
        <is>
          <t>기준 불량률</t>
        </is>
      </c>
      <c r="B8" s="7" t="n">
        <v>0.02</v>
      </c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끌어내리면 B8 도 B9, B10 … 으로 따라 내려갑니다. 기준 칸은 F4 로 고정하세요.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합격/재시험 판정</t>
        </is>
      </c>
      <c r="C5" s="8" t="inlineStr">
        <is>
          <t>F2:F7</t>
        </is>
      </c>
      <c r="D5" s="22" t="inlineStr">
        <is>
          <t>=IF(E2&gt;=240,"합격","재시험")</t>
        </is>
      </c>
      <c r="E5" s="23" t="inlineStr">
        <is>
          <t>IF(조건, 참일 때, 거짓일 때). 문자는 "큰따옴표"로.</t>
        </is>
      </c>
    </row>
    <row r="6" ht="30" customHeight="1">
      <c r="A6" s="24" t="n">
        <v>2</v>
      </c>
      <c r="B6" s="25" t="inlineStr">
        <is>
          <t>우수 판정</t>
        </is>
      </c>
      <c r="C6" s="25" t="inlineStr">
        <is>
          <t>E2:E6</t>
        </is>
      </c>
      <c r="D6" s="26" t="inlineStr">
        <is>
          <t>=IF(AND(B2&gt;=80,C2&gt;=80,D2&gt;=80),"우수","")</t>
        </is>
      </c>
      <c r="E6" s="27" t="inlineStr">
        <is>
          <t>AND(조건1, 조건2, 조건3)은 모두 참일 때만 TRUE.</t>
        </is>
      </c>
    </row>
    <row r="7" ht="30" customHeight="1">
      <c r="A7" s="7" t="n">
        <v>3</v>
      </c>
      <c r="B7" s="8" t="inlineStr">
        <is>
          <t>달성률(오류 처리)</t>
        </is>
      </c>
      <c r="C7" s="8" t="inlineStr">
        <is>
          <t>D2:D6</t>
        </is>
      </c>
      <c r="D7" s="22" t="inlineStr">
        <is>
          <t>=IFERROR(ROUND(C2/B2*100,0),"-")</t>
        </is>
      </c>
      <c r="E7" s="23" t="inlineStr">
        <is>
          <t>IFERROR(수식, "-"). 반올림은 ROUND(값, 0).</t>
        </is>
      </c>
    </row>
    <row r="8" ht="30" customHeight="1">
      <c r="A8" s="24" t="n">
        <v>4</v>
      </c>
      <c r="B8" s="25" t="inlineStr">
        <is>
          <t>점수 등급(중첩 IF)</t>
        </is>
      </c>
      <c r="C8" s="25" t="inlineStr">
        <is>
          <t>C2:C7</t>
        </is>
      </c>
      <c r="D8" s="26" t="inlineStr">
        <is>
          <t>=IF(B2&gt;=90,"A",IF(B2&gt;=80,"B","C"))</t>
        </is>
      </c>
      <c r="E8" s="27" t="inlineStr">
        <is>
          <t>IF 안에 IF를 넣어 세 단계로 판정.</t>
        </is>
      </c>
    </row>
    <row r="9" ht="30" customHeight="1">
      <c r="A9" s="7" t="n">
        <v>5</v>
      </c>
      <c r="B9" s="8" t="inlineStr">
        <is>
          <t>통과 판정(OR)</t>
        </is>
      </c>
      <c r="C9" s="8" t="inlineStr">
        <is>
          <t>D2:D6</t>
        </is>
      </c>
      <c r="D9" s="22" t="inlineStr">
        <is>
          <t>=IF(OR(B2&gt;=15,C2&gt;=8),"통과","미달")</t>
        </is>
      </c>
      <c r="E9" s="23" t="inlineStr">
        <is>
          <t>OR(조건1, 조건2)은 하나라도 참이면 TRUE.</t>
        </is>
      </c>
    </row>
    <row r="10" ht="30" customHeight="1">
      <c r="A10" s="24" t="n">
        <v>6</v>
      </c>
      <c r="B10" s="25" t="inlineStr">
        <is>
          <t>조건 세 개를 중첩</t>
        </is>
      </c>
      <c r="C10" s="25" t="inlineStr">
        <is>
          <t>C2:C7</t>
        </is>
      </c>
      <c r="D10" s="26" t="inlineStr">
        <is>
          <t>=IF(B2&gt;=90,"A",IF(B2&gt;=80,"B",IF(B2&gt;=70,"C","D")))</t>
        </is>
      </c>
      <c r="E10" s="27" t="inlineStr">
        <is>
          <t>큰 조건부터 차례로 씁니다.</t>
        </is>
      </c>
    </row>
    <row r="11" ht="30" customHeight="1">
      <c r="A11" s="7" t="n">
        <v>7</v>
      </c>
      <c r="B11" s="8" t="inlineStr">
        <is>
          <t>AND와 OR를 같이</t>
        </is>
      </c>
      <c r="C11" s="8" t="inlineStr">
        <is>
          <t>E2:E6</t>
        </is>
      </c>
      <c r="D11" s="22" t="inlineStr">
        <is>
          <t>=IF(AND(B2&gt;=15,OR(C2&gt;=8,D2&gt;=60)),"이수","미이수")</t>
        </is>
      </c>
      <c r="E11" s="23" t="inlineStr">
        <is>
          <t>AND 안에 OR를 넣어 묶습니다.</t>
        </is>
      </c>
    </row>
    <row r="12" ht="30" customHeight="1">
      <c r="A12" s="24" t="n">
        <v>8</v>
      </c>
      <c r="B12" s="25" t="inlineStr">
        <is>
          <t>나눗셈 오류 막기</t>
        </is>
      </c>
      <c r="C12" s="25" t="inlineStr">
        <is>
          <t>D2:D6</t>
        </is>
      </c>
      <c r="D12" s="26" t="inlineStr">
        <is>
          <t>=IFERROR(ROUND(C2/B2*100,0),0)</t>
        </is>
      </c>
      <c r="E12" s="27" t="inlineStr">
        <is>
          <t>0으로 나누면 #DIV/0! 오류가 납니다.</t>
        </is>
      </c>
    </row>
    <row r="13" ht="30" customHeight="1">
      <c r="A13" s="7" t="n">
        <v>9</v>
      </c>
      <c r="B13" s="8" t="inlineStr">
        <is>
          <t>기준 불량률 칸으로 판정</t>
        </is>
      </c>
      <c r="C13" s="8" t="inlineStr">
        <is>
          <t>D2:D6</t>
        </is>
      </c>
      <c r="D13" s="22" t="inlineStr">
        <is>
          <t>=IF(C2/B2&lt;=$B$8,"합격","재검")</t>
        </is>
      </c>
      <c r="E13" s="23" t="inlineStr">
        <is>
          <t>끌어내리면 B8 도 B9, B10 … 으로 따라 내려갑니다. 기준 칸은 F4 로 고정하세요.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2026-09-28T03:23:24Z</dcterms:created>
  <dcterms:modified xmlns:dcterms="http://purl.org/dc/terms/" xmlns:xsi="http://www.w3.org/2001/XMLSchema-instance" xsi:type="dcterms:W3CDTF">2026-09-28T03:23:25Z</dcterms:modified>
</cp:coreProperties>
</file>