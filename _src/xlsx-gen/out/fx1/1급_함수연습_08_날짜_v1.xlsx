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입사 연도" sheetId="3" state="visible" r:id="rId3"/>
    <sheet xmlns:r="http://schemas.openxmlformats.org/officeDocument/2006/relationships" name="02 출고 월" sheetId="4" state="visible" r:id="rId4"/>
    <sheet xmlns:r="http://schemas.openxmlformats.org/officeDocument/2006/relationships" name="03 근속 연수" sheetId="5" state="visible" r:id="rId5"/>
    <sheet xmlns:r="http://schemas.openxmlformats.org/officeDocument/2006/relationships" name="04 주말평일 판정" sheetId="6" state="visible" r:id="rId6"/>
    <sheet xmlns:r="http://schemas.openxmlformats.org/officeDocument/2006/relationships" name="05 날짜 만들기" sheetId="7" state="visible" r:id="rId7"/>
    <sheet xmlns:r="http://schemas.openxmlformats.org/officeDocument/2006/relationships" name="06 두 날짜 사이의 일수" sheetId="8" state="visible" r:id="rId8"/>
    <sheet xmlns:r="http://schemas.openxmlformats.org/officeDocument/2006/relationships" name="07 시각에서 시만 꺼내기" sheetId="9" state="visible" r:id="rId9"/>
    <sheet xmlns:r="http://schemas.openxmlformats.org/officeDocument/2006/relationships" name="08 주말인지 판정" sheetId="10" state="visible" r:id="rId10"/>
    <sheet xmlns:r="http://schemas.openxmlformats.org/officeDocument/2006/relationships" name="09 입사 연도와 근속 연수" sheetId="11" state="visible" r:id="rId11"/>
    <sheet xmlns:r="http://schemas.openxmlformats.org/officeDocument/2006/relationships" name="정답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6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9.5"/>
    </font>
    <font>
      <color rgb="007F7F7F"/>
      <sz val="10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1급 실기 · 함수 연습 — 날짜 (9문제)</t>
        </is>
      </c>
    </row>
    <row r="3" ht="19" customHeight="1">
      <c r="B3" s="2" t="inlineStr">
        <is>
          <t>웹 「함수 연습소」의 [날짜]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날짜 9문제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입사 연도</t>
        </is>
      </c>
      <c r="C4" s="7" t="inlineStr">
        <is>
          <t>C2 → C6</t>
        </is>
      </c>
      <c r="D4" s="9">
        <f>'01 입사 연도'!I7</f>
        <v/>
      </c>
    </row>
    <row r="5">
      <c r="A5" s="7" t="n">
        <v>2</v>
      </c>
      <c r="B5" s="8" t="inlineStr">
        <is>
          <t>출고 월</t>
        </is>
      </c>
      <c r="C5" s="7" t="inlineStr">
        <is>
          <t>C2 → C6</t>
        </is>
      </c>
      <c r="D5" s="9">
        <f>'02 출고 월'!I7</f>
        <v/>
      </c>
    </row>
    <row r="6">
      <c r="A6" s="7" t="n">
        <v>3</v>
      </c>
      <c r="B6" s="8" t="inlineStr">
        <is>
          <t>근속 연수</t>
        </is>
      </c>
      <c r="C6" s="7" t="inlineStr">
        <is>
          <t>D2 → D6</t>
        </is>
      </c>
      <c r="D6" s="9">
        <f>'03 근속 연수'!I7</f>
        <v/>
      </c>
    </row>
    <row r="7">
      <c r="A7" s="7" t="n">
        <v>4</v>
      </c>
      <c r="B7" s="8" t="inlineStr">
        <is>
          <t>주말/평일 판정</t>
        </is>
      </c>
      <c r="C7" s="7" t="inlineStr">
        <is>
          <t>B2 → B7</t>
        </is>
      </c>
      <c r="D7" s="9">
        <f>'04 주말평일 판정'!I7</f>
        <v/>
      </c>
    </row>
    <row r="8">
      <c r="A8" s="7" t="n">
        <v>5</v>
      </c>
      <c r="B8" s="8" t="inlineStr">
        <is>
          <t>날짜 만들기</t>
        </is>
      </c>
      <c r="C8" s="7" t="inlineStr">
        <is>
          <t>D2 → D6</t>
        </is>
      </c>
      <c r="D8" s="9">
        <f>'05 날짜 만들기'!I7</f>
        <v/>
      </c>
    </row>
    <row r="9">
      <c r="A9" s="7" t="n">
        <v>6</v>
      </c>
      <c r="B9" s="8" t="inlineStr">
        <is>
          <t>두 날짜 사이의 일수</t>
        </is>
      </c>
      <c r="C9" s="7" t="inlineStr">
        <is>
          <t>C2 → C6</t>
        </is>
      </c>
      <c r="D9" s="9">
        <f>'06 두 날짜 사이의 일수'!I7</f>
        <v/>
      </c>
    </row>
    <row r="10">
      <c r="A10" s="7" t="n">
        <v>7</v>
      </c>
      <c r="B10" s="8" t="inlineStr">
        <is>
          <t>시각에서 "시"만 꺼내기</t>
        </is>
      </c>
      <c r="C10" s="7" t="inlineStr">
        <is>
          <t>B2 → B7</t>
        </is>
      </c>
      <c r="D10" s="9">
        <f>'07 시각에서 시만 꺼내기'!I7</f>
        <v/>
      </c>
    </row>
    <row r="11">
      <c r="A11" s="7" t="n">
        <v>8</v>
      </c>
      <c r="B11" s="8" t="inlineStr">
        <is>
          <t>주말인지 판정</t>
        </is>
      </c>
      <c r="C11" s="7" t="inlineStr">
        <is>
          <t>B2 → B7</t>
        </is>
      </c>
      <c r="D11" s="9">
        <f>'08 주말인지 판정'!I7</f>
        <v/>
      </c>
    </row>
    <row r="12">
      <c r="A12" s="7" t="n">
        <v>9</v>
      </c>
      <c r="B12" s="8" t="inlineStr">
        <is>
          <t>입사 연도와 근속 연수</t>
        </is>
      </c>
      <c r="C12" s="7" t="inlineStr">
        <is>
          <t>C2 → C6</t>
        </is>
      </c>
      <c r="D12" s="9">
        <f>'09 입사 연도와 근속 연수'!I7</f>
        <v/>
      </c>
    </row>
    <row r="14">
      <c r="B14" s="10" t="inlineStr">
        <is>
          <t>맞은 문제</t>
        </is>
      </c>
      <c r="D14" s="11">
        <f>COUNTIF(D4:D12,"*맞음*")&amp;" / 9"</f>
        <v/>
      </c>
    </row>
  </sheetData>
  <mergeCells count="1">
    <mergeCell ref="A1:D1"/>
  </mergeCells>
  <conditionalFormatting sqref="D4:D12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입사일</t>
        </is>
      </c>
      <c r="C1" s="12" t="inlineStr">
        <is>
          <t>입사년도</t>
        </is>
      </c>
      <c r="H1" s="13" t="inlineStr">
        <is>
          <t>1번 · 입사 연도</t>
        </is>
      </c>
    </row>
    <row r="2" ht="22" customHeight="1">
      <c r="A2" s="7" t="inlineStr">
        <is>
          <t>김하나</t>
        </is>
      </c>
      <c r="B2" s="14" t="n">
        <v>42065</v>
      </c>
      <c r="C2" s="15" t="n">
        <v>0</v>
      </c>
      <c r="H2" s="16" t="inlineStr">
        <is>
          <t>입사일[B2:B6]에서 연도만 뽑아 [C2:C6]에 표시하시오.</t>
        </is>
      </c>
      <c r="AA2">
        <f>YEAR(B2)</f>
        <v/>
      </c>
      <c r="AB2">
        <f>AND(_xlfn.ISFORMULA(C2),IFERROR(ROUND(C2,4)=ROUND(AA2,4),EXACT(C2,AA2)))</f>
        <v/>
      </c>
    </row>
    <row r="3" ht="22" customHeight="1">
      <c r="A3" s="7" t="inlineStr">
        <is>
          <t>이두리</t>
        </is>
      </c>
      <c r="B3" s="14" t="n">
        <v>44165</v>
      </c>
      <c r="C3" s="15" t="n">
        <v>0</v>
      </c>
      <c r="AA3">
        <f>YEAR(B3)</f>
        <v/>
      </c>
      <c r="AB3">
        <f>AND(_xlfn.ISFORMULA(C3),IFERROR(ROUND(C3,4)=ROUND(AA3,4),EXACT(C3,AA3)))</f>
        <v/>
      </c>
    </row>
    <row r="4" ht="22" customHeight="1">
      <c r="A4" s="7" t="inlineStr">
        <is>
          <t>박세찬</t>
        </is>
      </c>
      <c r="B4" s="14" t="n">
        <v>39814</v>
      </c>
      <c r="C4" s="15" t="n">
        <v>0</v>
      </c>
      <c r="AA4">
        <f>YEAR(B4)</f>
        <v/>
      </c>
      <c r="AB4">
        <f>AND(_xlfn.ISFORMULA(C4),IFERROR(ROUND(C4,4)=ROUND(AA4,4),EXACT(C4,AA4)))</f>
        <v/>
      </c>
    </row>
    <row r="5" ht="20" customHeight="1">
      <c r="A5" s="7" t="inlineStr">
        <is>
          <t>최가온</t>
        </is>
      </c>
      <c r="B5" s="14" t="n">
        <v>45489</v>
      </c>
      <c r="C5" s="15" t="n">
        <v>0</v>
      </c>
      <c r="H5" s="17" t="inlineStr">
        <is>
          <t>① C2 의 0 을 지우고 수식을 넣습니다.
② 채우기 핸들(칸 오른쪽 아래 ■)을 C6 까지 끌어내립니다.</t>
        </is>
      </c>
      <c r="AA5">
        <f>YEAR(B5)</f>
        <v/>
      </c>
      <c r="AB5">
        <f>AND(_xlfn.ISFORMULA(C5),IFERROR(ROUND(C5,4)=ROUND(AA5,4),EXACT(C5,AA5)))</f>
        <v/>
      </c>
    </row>
    <row r="6" ht="20" customHeight="1">
      <c r="A6" s="7" t="inlineStr">
        <is>
          <t>정바름</t>
        </is>
      </c>
      <c r="B6" s="14" t="n">
        <v>36525</v>
      </c>
      <c r="C6" s="15" t="n">
        <v>0</v>
      </c>
      <c r="AA6">
        <f>YEAR(B6)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8">
        <f>IF(NOT(_xlfn.ISFORMULA(C2)),"↖ 0 지우고 수식",IF(COUNTIF(AB2:AB6,TRUE)=5,"✔ 맞음","✘ 다시 ("&amp;COUNTIF(AB2:AB6,TRUE)&amp;" / 5칸)"))</f>
        <v/>
      </c>
      <c r="J7" s="19" t="n"/>
      <c r="K7" s="19" t="n"/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YEAR(날짜)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제품</t>
        </is>
      </c>
      <c r="B1" s="12" t="inlineStr">
        <is>
          <t>출고일</t>
        </is>
      </c>
      <c r="C1" s="12" t="inlineStr">
        <is>
          <t>출고월</t>
        </is>
      </c>
      <c r="H1" s="13" t="inlineStr">
        <is>
          <t>2번 · 출고 월</t>
        </is>
      </c>
    </row>
    <row r="2" ht="22" customHeight="1">
      <c r="A2" s="7" t="inlineStr">
        <is>
          <t>노트북</t>
        </is>
      </c>
      <c r="B2" s="14" t="n">
        <v>45489</v>
      </c>
      <c r="C2" s="15" t="n">
        <v>0</v>
      </c>
      <c r="H2" s="16" t="inlineStr">
        <is>
          <t>출고일[B2:B6]에서 월만 뽑아 [C2:C6]에 표시하시오.</t>
        </is>
      </c>
      <c r="AA2">
        <f>MONTH(B2)</f>
        <v/>
      </c>
      <c r="AB2">
        <f>AND(_xlfn.ISFORMULA(C2),IFERROR(ROUND(C2,4)=ROUND(AA2,4),EXACT(C2,AA2)))</f>
        <v/>
      </c>
    </row>
    <row r="3" ht="22" customHeight="1">
      <c r="A3" s="7" t="inlineStr">
        <is>
          <t>모니터</t>
        </is>
      </c>
      <c r="B3" s="14" t="n">
        <v>45322</v>
      </c>
      <c r="C3" s="15" t="n">
        <v>0</v>
      </c>
      <c r="AA3">
        <f>MONTH(B3)</f>
        <v/>
      </c>
      <c r="AB3">
        <f>AND(_xlfn.ISFORMULA(C3),IFERROR(ROUND(C3,4)=ROUND(AA3,4),EXACT(C3,AA3)))</f>
        <v/>
      </c>
    </row>
    <row r="4" ht="22" customHeight="1">
      <c r="A4" s="7" t="inlineStr">
        <is>
          <t>프린터</t>
        </is>
      </c>
      <c r="B4" s="14" t="n">
        <v>45627</v>
      </c>
      <c r="C4" s="15" t="n">
        <v>0</v>
      </c>
      <c r="AA4">
        <f>MONTH(B4)</f>
        <v/>
      </c>
      <c r="AB4">
        <f>AND(_xlfn.ISFORMULA(C4),IFERROR(ROUND(C4,4)=ROUND(AA4,4),EXACT(C4,AA4)))</f>
        <v/>
      </c>
    </row>
    <row r="5" ht="20" customHeight="1">
      <c r="A5" s="7" t="inlineStr">
        <is>
          <t>스캐너</t>
        </is>
      </c>
      <c r="B5" s="14" t="n">
        <v>45575</v>
      </c>
      <c r="C5" s="15" t="n">
        <v>0</v>
      </c>
      <c r="H5" s="17" t="inlineStr">
        <is>
          <t>① C2 의 0 을 지우고 수식을 넣습니다.
② 채우기 핸들(칸 오른쪽 아래 ■)을 C6 까지 끌어내립니다.</t>
        </is>
      </c>
      <c r="AA5">
        <f>MONTH(B5)</f>
        <v/>
      </c>
      <c r="AB5">
        <f>AND(_xlfn.ISFORMULA(C5),IFERROR(ROUND(C5,4)=ROUND(AA5,4),EXACT(C5,AA5)))</f>
        <v/>
      </c>
    </row>
    <row r="6" ht="20" customHeight="1">
      <c r="A6" s="7" t="inlineStr">
        <is>
          <t>키보드</t>
        </is>
      </c>
      <c r="B6" s="14" t="n">
        <v>45351</v>
      </c>
      <c r="C6" s="15" t="n">
        <v>0</v>
      </c>
      <c r="AA6">
        <f>MONTH(B6)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8">
        <f>IF(NOT(_xlfn.ISFORMULA(C2)),"↖ 0 지우고 수식",IF(COUNTIF(AB2:AB6,TRUE)=5,"✔ 맞음","✘ 다시 ("&amp;COUNTIF(AB2:AB6,TRUE)&amp;" / 5칸)"))</f>
        <v/>
      </c>
      <c r="J7" s="19" t="n"/>
      <c r="K7" s="19" t="n"/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MONTH(날짜)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입사일</t>
        </is>
      </c>
      <c r="C1" s="12" t="inlineStr">
        <is>
          <t>기준일</t>
        </is>
      </c>
      <c r="D1" s="12" t="inlineStr">
        <is>
          <t>근속연수</t>
        </is>
      </c>
      <c r="H1" s="13" t="inlineStr">
        <is>
          <t>3번 · 근속 연수</t>
        </is>
      </c>
    </row>
    <row r="2" ht="22" customHeight="1">
      <c r="A2" s="7" t="inlineStr">
        <is>
          <t>이두리</t>
        </is>
      </c>
      <c r="B2" s="14" t="n">
        <v>42065</v>
      </c>
      <c r="C2" s="14" t="n">
        <v>45353</v>
      </c>
      <c r="D2" s="15" t="n">
        <v>0</v>
      </c>
      <c r="H2" s="16" t="inlineStr">
        <is>
          <t>기준일[C2:C6]과 입사일[B2:B6]의 연도 차이로 근속연수를 [D2:D6]에 구하시오.</t>
        </is>
      </c>
      <c r="AA2">
        <f>YEAR(C2)-YEAR(B2)</f>
        <v/>
      </c>
      <c r="AB2">
        <f>AND(_xlfn.ISFORMULA(D2),IFERROR(ROUND(D2,4)=ROUND(AA2,4),EXACT(D2,AA2)))</f>
        <v/>
      </c>
    </row>
    <row r="3" ht="22" customHeight="1">
      <c r="A3" s="7" t="inlineStr">
        <is>
          <t>김하나</t>
        </is>
      </c>
      <c r="B3" s="14" t="n">
        <v>44075</v>
      </c>
      <c r="C3" s="14" t="n">
        <v>45353</v>
      </c>
      <c r="D3" s="15" t="n">
        <v>0</v>
      </c>
      <c r="AA3">
        <f>YEAR(C3)-YEAR(B3)</f>
        <v/>
      </c>
      <c r="AB3">
        <f>AND(_xlfn.ISFORMULA(D3),IFERROR(ROUND(D3,4)=ROUND(AA3,4),EXACT(D3,AA3)))</f>
        <v/>
      </c>
    </row>
    <row r="4" ht="22" customHeight="1">
      <c r="A4" s="7" t="inlineStr">
        <is>
          <t>박두리</t>
        </is>
      </c>
      <c r="B4" s="14" t="n">
        <v>40239</v>
      </c>
      <c r="C4" s="14" t="n">
        <v>45353</v>
      </c>
      <c r="D4" s="15" t="n">
        <v>0</v>
      </c>
      <c r="AA4">
        <f>YEAR(C4)-YEAR(B4)</f>
        <v/>
      </c>
      <c r="AB4">
        <f>AND(_xlfn.ISFORMULA(D4),IFERROR(ROUND(D4,4)=ROUND(AA4,4),EXACT(D4,AA4)))</f>
        <v/>
      </c>
    </row>
    <row r="5" ht="20" customHeight="1">
      <c r="A5" s="7" t="inlineStr">
        <is>
          <t>최세나</t>
        </is>
      </c>
      <c r="B5" s="14" t="n">
        <v>45291</v>
      </c>
      <c r="C5" s="14" t="n">
        <v>45353</v>
      </c>
      <c r="D5" s="15" t="n">
        <v>0</v>
      </c>
      <c r="H5" s="17" t="inlineStr">
        <is>
          <t>① D2 의 0 을 지우고 수식을 넣습니다.
② 채우기 핸들(칸 오른쪽 아래 ■)을 D6 까지 끌어내립니다.</t>
        </is>
      </c>
      <c r="AA5">
        <f>YEAR(C5)-YEAR(B5)</f>
        <v/>
      </c>
      <c r="AB5">
        <f>AND(_xlfn.ISFORMULA(D5),IFERROR(ROUND(D5,4)=ROUND(AA5,4),EXACT(D5,AA5)))</f>
        <v/>
      </c>
    </row>
    <row r="6" ht="20" customHeight="1">
      <c r="A6" s="7" t="inlineStr">
        <is>
          <t>정네온</t>
        </is>
      </c>
      <c r="B6" s="14" t="n">
        <v>37031</v>
      </c>
      <c r="C6" s="14" t="n">
        <v>45353</v>
      </c>
      <c r="D6" s="15" t="n">
        <v>0</v>
      </c>
      <c r="AA6">
        <f>YEAR(C6)-YEAR(B6)</f>
        <v/>
      </c>
      <c r="AB6">
        <f>AND(_xlfn.ISFORMULA(D6),IFERROR(ROUND(D6,4)=ROUND(AA6,4),EXACT(D6,AA6)))</f>
        <v/>
      </c>
    </row>
    <row r="7" ht="24" customHeight="1">
      <c r="H7" s="12" t="inlineStr">
        <is>
          <t>채점</t>
        </is>
      </c>
      <c r="I7" s="18">
        <f>IF(NOT(_xlfn.ISFORMULA(D2)),"↖ 0 지우고 수식",IF(COUNTIF(AB2:AB6,TRUE)=5,"✔ 맞음","✘ 다시 ("&amp;COUNTIF(AB2:AB6,TRUE)&amp;" / 5칸)"))</f>
        <v/>
      </c>
      <c r="J7" s="19" t="n"/>
      <c r="K7" s="19" t="n"/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YEAR(기준일)-YEAR(입사일)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날짜</t>
        </is>
      </c>
      <c r="B1" s="12" t="inlineStr">
        <is>
          <t>구분</t>
        </is>
      </c>
      <c r="H1" s="13" t="inlineStr">
        <is>
          <t>4번 · 주말/평일 판정</t>
        </is>
      </c>
    </row>
    <row r="2" ht="22" customHeight="1">
      <c r="A2" s="14" t="n">
        <v>45493</v>
      </c>
      <c r="B2" s="15" t="n">
        <v>0</v>
      </c>
      <c r="H2" s="16" t="inlineStr">
        <is>
          <t>날짜[A2:A7]가 토·일이면 "주말", 아니면 "평일"을 [B2:B7]에 표시하시오. (WEEKDAY 두 번째 인수 2 사용: 월=1 … 토=6, 일=7)</t>
        </is>
      </c>
      <c r="AA2">
        <f>IF(WEEKDAY(A2,2)&gt;=6,"주말","평일")</f>
        <v/>
      </c>
      <c r="AB2">
        <f>AND(_xlfn.ISFORMULA(B2),IFERROR(ROUND(B2,4)=ROUND(AA2,4),EXACT(B2,AA2)))</f>
        <v/>
      </c>
    </row>
    <row r="3" ht="22" customHeight="1">
      <c r="A3" s="14" t="n">
        <v>45494</v>
      </c>
      <c r="B3" s="15" t="n">
        <v>0</v>
      </c>
      <c r="AA3">
        <f>IF(WEEKDAY(A3,2)&gt;=6,"주말","평일")</f>
        <v/>
      </c>
      <c r="AB3">
        <f>AND(_xlfn.ISFORMULA(B3),IFERROR(ROUND(B3,4)=ROUND(AA3,4),EXACT(B3,AA3)))</f>
        <v/>
      </c>
    </row>
    <row r="4" ht="22" customHeight="1">
      <c r="A4" s="14" t="n">
        <v>45495</v>
      </c>
      <c r="B4" s="15" t="n">
        <v>0</v>
      </c>
      <c r="AA4">
        <f>IF(WEEKDAY(A4,2)&gt;=6,"주말","평일")</f>
        <v/>
      </c>
      <c r="AB4">
        <f>AND(_xlfn.ISFORMULA(B4),IFERROR(ROUND(B4,4)=ROUND(AA4,4),EXACT(B4,AA4)))</f>
        <v/>
      </c>
    </row>
    <row r="5" ht="20" customHeight="1">
      <c r="A5" s="14" t="n">
        <v>45492</v>
      </c>
      <c r="B5" s="15" t="n">
        <v>0</v>
      </c>
      <c r="H5" s="17" t="inlineStr">
        <is>
          <t>① B2 의 0 을 지우고 수식을 넣습니다.
② 채우기 핸들(칸 오른쪽 아래 ■)을 B7 까지 끌어내립니다.</t>
        </is>
      </c>
      <c r="AA5">
        <f>IF(WEEKDAY(A5,2)&gt;=6,"주말","평일")</f>
        <v/>
      </c>
      <c r="AB5">
        <f>AND(_xlfn.ISFORMULA(B5),IFERROR(ROUND(B5,4)=ROUND(AA5,4),EXACT(B5,AA5)))</f>
        <v/>
      </c>
    </row>
    <row r="6" ht="20" customHeight="1">
      <c r="A6" s="14" t="n">
        <v>45500</v>
      </c>
      <c r="B6" s="15" t="n">
        <v>0</v>
      </c>
      <c r="AA6">
        <f>IF(WEEKDAY(A6,2)&gt;=6,"주말","평일")</f>
        <v/>
      </c>
      <c r="AB6">
        <f>AND(_xlfn.ISFORMULA(B6),IFERROR(ROUND(B6,4)=ROUND(AA6,4),EXACT(B6,AA6)))</f>
        <v/>
      </c>
    </row>
    <row r="7" ht="24" customHeight="1">
      <c r="A7" s="14" t="n">
        <v>45497</v>
      </c>
      <c r="B7" s="15" t="n">
        <v>0</v>
      </c>
      <c r="H7" s="12" t="inlineStr">
        <is>
          <t>채점</t>
        </is>
      </c>
      <c r="I7" s="18">
        <f>IF(NOT(_xlfn.ISFORMULA(B2)),"↖ 0 지우고 수식",IF(COUNTIF(AB2:AB7,TRUE)=6,"✔ 맞음","✘ 다시 ("&amp;COUNTIF(AB2:AB7,TRUE)&amp;" / 6칸)"))</f>
        <v/>
      </c>
      <c r="J7" s="19" t="n"/>
      <c r="K7" s="19" t="n"/>
      <c r="AA7">
        <f>IF(WEEKDAY(A7,2)&gt;=6,"주말","평일")</f>
        <v/>
      </c>
      <c r="AB7">
        <f>AND(_xlfn.ISFORMULA(B7),IFERROR(ROUND(B7,4)=ROUND(AA7,4),EXACT(B7,AA7)))</f>
        <v/>
      </c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WEEKDAY(날짜,2)가 6 이상이면 토·일.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년</t>
        </is>
      </c>
      <c r="B1" s="12" t="inlineStr">
        <is>
          <t>월</t>
        </is>
      </c>
      <c r="C1" s="12" t="inlineStr">
        <is>
          <t>일</t>
        </is>
      </c>
      <c r="D1" s="12" t="inlineStr">
        <is>
          <t>날짜</t>
        </is>
      </c>
      <c r="H1" s="13" t="inlineStr">
        <is>
          <t>5번 · 날짜 만들기</t>
        </is>
      </c>
    </row>
    <row r="2" ht="22" customHeight="1">
      <c r="A2" s="7" t="n">
        <v>2024</v>
      </c>
      <c r="B2" s="7" t="n">
        <v>7</v>
      </c>
      <c r="C2" s="7" t="n">
        <v>16</v>
      </c>
      <c r="D2" s="15" t="n">
        <v>0</v>
      </c>
      <c r="H2" s="16" t="inlineStr">
        <is>
          <t>년[A2:A6]·월[B2:B6]·일[C2:C6]을 합쳐 날짜를 [D2:D6]에 만드시오.</t>
        </is>
      </c>
      <c r="AA2">
        <f>DATE(A2,B2,C2)</f>
        <v/>
      </c>
      <c r="AB2">
        <f>AND(_xlfn.ISFORMULA(D2),IFERROR(ROUND(D2,4)=ROUND(AA2,4),EXACT(D2,AA2)))</f>
        <v/>
      </c>
    </row>
    <row r="3" ht="22" customHeight="1">
      <c r="A3" s="7" t="n">
        <v>2024</v>
      </c>
      <c r="B3" s="7" t="n">
        <v>12</v>
      </c>
      <c r="C3" s="7" t="n">
        <v>25</v>
      </c>
      <c r="D3" s="15" t="n">
        <v>0</v>
      </c>
      <c r="AA3">
        <f>DATE(A3,B3,C3)</f>
        <v/>
      </c>
      <c r="AB3">
        <f>AND(_xlfn.ISFORMULA(D3),IFERROR(ROUND(D3,4)=ROUND(AA3,4),EXACT(D3,AA3)))</f>
        <v/>
      </c>
    </row>
    <row r="4" ht="22" customHeight="1">
      <c r="A4" s="7" t="n">
        <v>2025</v>
      </c>
      <c r="B4" s="7" t="n">
        <v>1</v>
      </c>
      <c r="C4" s="7" t="n">
        <v>1</v>
      </c>
      <c r="D4" s="15" t="n">
        <v>0</v>
      </c>
      <c r="AA4">
        <f>DATE(A4,B4,C4)</f>
        <v/>
      </c>
      <c r="AB4">
        <f>AND(_xlfn.ISFORMULA(D4),IFERROR(ROUND(D4,4)=ROUND(AA4,4),EXACT(D4,AA4)))</f>
        <v/>
      </c>
    </row>
    <row r="5" ht="20" customHeight="1">
      <c r="A5" s="7" t="n">
        <v>2024</v>
      </c>
      <c r="B5" s="7" t="n">
        <v>2</v>
      </c>
      <c r="C5" s="7" t="n">
        <v>29</v>
      </c>
      <c r="D5" s="15" t="n">
        <v>0</v>
      </c>
      <c r="H5" s="17" t="inlineStr">
        <is>
          <t>① D2 의 0 을 지우고 수식을 넣습니다.
② 채우기 핸들(칸 오른쪽 아래 ■)을 D6 까지 끌어내립니다.</t>
        </is>
      </c>
      <c r="AA5">
        <f>DATE(A5,B5,C5)</f>
        <v/>
      </c>
      <c r="AB5">
        <f>AND(_xlfn.ISFORMULA(D5),IFERROR(ROUND(D5,4)=ROUND(AA5,4),EXACT(D5,AA5)))</f>
        <v/>
      </c>
    </row>
    <row r="6" ht="20" customHeight="1">
      <c r="A6" s="7" t="n">
        <v>2026</v>
      </c>
      <c r="B6" s="7" t="n">
        <v>3</v>
      </c>
      <c r="C6" s="7" t="n">
        <v>2</v>
      </c>
      <c r="D6" s="15" t="n">
        <v>0</v>
      </c>
      <c r="AA6">
        <f>DATE(A6,B6,C6)</f>
        <v/>
      </c>
      <c r="AB6">
        <f>AND(_xlfn.ISFORMULA(D6),IFERROR(ROUND(D6,4)=ROUND(AA6,4),EXACT(D6,AA6)))</f>
        <v/>
      </c>
    </row>
    <row r="7" ht="24" customHeight="1">
      <c r="H7" s="12" t="inlineStr">
        <is>
          <t>채점</t>
        </is>
      </c>
      <c r="I7" s="18">
        <f>IF(NOT(_xlfn.ISFORMULA(D2)),"↖ 0 지우고 수식",IF(COUNTIF(AB2:AB6,TRUE)=5,"✔ 맞음","✘ 다시 ("&amp;COUNTIF(AB2:AB6,TRUE)&amp;" / 5칸)"))</f>
        <v/>
      </c>
      <c r="J7" s="19" t="n"/>
      <c r="K7" s="19" t="n"/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DATE(년, 월, 일)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시작일</t>
        </is>
      </c>
      <c r="B1" s="12" t="inlineStr">
        <is>
          <t>종료일</t>
        </is>
      </c>
      <c r="C1" s="12" t="inlineStr">
        <is>
          <t>일수</t>
        </is>
      </c>
      <c r="H1" s="13" t="inlineStr">
        <is>
          <t>6번 · 두 날짜 사이의 일수</t>
        </is>
      </c>
    </row>
    <row r="2" ht="22" customHeight="1">
      <c r="A2" s="14" t="n">
        <v>46083</v>
      </c>
      <c r="B2" s="14" t="n">
        <v>46101</v>
      </c>
      <c r="C2" s="15" t="n">
        <v>0</v>
      </c>
      <c r="H2" s="16" t="inlineStr">
        <is>
          <t>시작일[A2:A6]부터 종료일[B2:B6]까지 며칠인지 [C2:C6]에 구하시오.</t>
        </is>
      </c>
      <c r="AA2">
        <f>_xlfn.DAYS(B2,A2)</f>
        <v/>
      </c>
      <c r="AB2">
        <f>AND(_xlfn.ISFORMULA(C2),IFERROR(ROUND(C2,4)=ROUND(AA2,4),EXACT(C2,AA2)))</f>
        <v/>
      </c>
    </row>
    <row r="3" ht="22" customHeight="1">
      <c r="A3" s="14" t="n">
        <v>46054</v>
      </c>
      <c r="B3" s="14" t="n">
        <v>46082</v>
      </c>
      <c r="C3" s="15" t="n">
        <v>0</v>
      </c>
      <c r="AA3">
        <f>_xlfn.DAYS(B3,A3)</f>
        <v/>
      </c>
      <c r="AB3">
        <f>AND(_xlfn.ISFORMULA(C3),IFERROR(ROUND(C3,4)=ROUND(AA3,4),EXACT(C3,AA3)))</f>
        <v/>
      </c>
    </row>
    <row r="4" ht="22" customHeight="1">
      <c r="A4" s="14" t="n">
        <v>46016</v>
      </c>
      <c r="B4" s="14" t="n">
        <v>46023</v>
      </c>
      <c r="C4" s="15" t="n">
        <v>0</v>
      </c>
      <c r="AA4">
        <f>_xlfn.DAYS(B4,A4)</f>
        <v/>
      </c>
      <c r="AB4">
        <f>AND(_xlfn.ISFORMULA(C4),IFERROR(ROUND(C4,4)=ROUND(AA4,4),EXACT(C4,AA4)))</f>
        <v/>
      </c>
    </row>
    <row r="5" ht="20" customHeight="1">
      <c r="A5" s="14" t="n">
        <v>46147</v>
      </c>
      <c r="B5" s="14" t="n">
        <v>46147</v>
      </c>
      <c r="C5" s="15" t="n">
        <v>0</v>
      </c>
      <c r="H5" s="17" t="inlineStr">
        <is>
          <t>① C2 의 0 을 지우고 수식을 넣습니다.
② 채우기 핸들(칸 오른쪽 아래 ■)을 C6 까지 끌어내립니다.</t>
        </is>
      </c>
      <c r="AA5">
        <f>_xlfn.DAYS(B5,A5)</f>
        <v/>
      </c>
      <c r="AB5">
        <f>AND(_xlfn.ISFORMULA(C5),IFERROR(ROUND(C5,4)=ROUND(AA5,4),EXACT(C5,AA5)))</f>
        <v/>
      </c>
    </row>
    <row r="6" ht="20" customHeight="1">
      <c r="A6" s="14" t="n">
        <v>45717</v>
      </c>
      <c r="B6" s="14" t="n">
        <v>46082</v>
      </c>
      <c r="C6" s="15" t="n">
        <v>0</v>
      </c>
      <c r="AA6">
        <f>_xlfn.DAYS(B6,A6)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8">
        <f>IF(NOT(_xlfn.ISFORMULA(C2)),"↖ 0 지우고 수식",IF(COUNTIF(AB2:AB6,TRUE)=5,"✔ 맞음","✘ 다시 ("&amp;COUNTIF(AB2:AB6,TRUE)&amp;" / 5칸)"))</f>
        <v/>
      </c>
      <c r="J7" s="19" t="n"/>
      <c r="K7" s="19" t="n"/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DAYS(끝나는 날, 시작하는 날) — 순서에 주의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출근시각</t>
        </is>
      </c>
      <c r="B1" s="12" t="inlineStr">
        <is>
          <t>시</t>
        </is>
      </c>
      <c r="H1" s="13" t="inlineStr">
        <is>
          <t>7번 · 시각에서 "시"만 꺼내기</t>
        </is>
      </c>
    </row>
    <row r="2" ht="22" customHeight="1">
      <c r="A2" s="22" t="n">
        <v>0.3578703703703704</v>
      </c>
      <c r="B2" s="15" t="n">
        <v>0</v>
      </c>
      <c r="H2" s="16" t="inlineStr">
        <is>
          <t>출근시각[A2:A7]에서 시(hour)만 [B2:B7]에 표시하시오.</t>
        </is>
      </c>
      <c r="AA2">
        <f>HOUR(A2)</f>
        <v/>
      </c>
      <c r="AB2">
        <f>AND(_xlfn.ISFORMULA(B2),IFERROR(ROUND(B2,4)=ROUND(AA2,4),EXACT(B2,AA2)))</f>
        <v/>
      </c>
    </row>
    <row r="3" ht="22" customHeight="1">
      <c r="A3" s="22" t="n">
        <v>0.3784722222222222</v>
      </c>
      <c r="B3" s="15" t="n">
        <v>0</v>
      </c>
      <c r="AA3">
        <f>HOUR(A3)</f>
        <v/>
      </c>
      <c r="AB3">
        <f>AND(_xlfn.ISFORMULA(B3),IFERROR(ROUND(B3,4)=ROUND(AA3,4),EXACT(B3,AA3)))</f>
        <v/>
      </c>
    </row>
    <row r="4" ht="22" customHeight="1">
      <c r="A4" s="22" t="n">
        <v>0.02083333333333333</v>
      </c>
      <c r="B4" s="15" t="n">
        <v>0</v>
      </c>
      <c r="AA4">
        <f>HOUR(A4)</f>
        <v/>
      </c>
      <c r="AB4">
        <f>AND(_xlfn.ISFORMULA(B4),IFERROR(ROUND(B4,4)=ROUND(AA4,4),EXACT(B4,AA4)))</f>
        <v/>
      </c>
    </row>
    <row r="5" ht="20" customHeight="1">
      <c r="A5" s="22" t="n">
        <v>0.999988425925926</v>
      </c>
      <c r="B5" s="15" t="n">
        <v>0</v>
      </c>
      <c r="H5" s="17" t="inlineStr">
        <is>
          <t>① B2 의 0 을 지우고 수식을 넣습니다.
② 채우기 핸들(칸 오른쪽 아래 ■)을 B7 까지 끌어내립니다.</t>
        </is>
      </c>
      <c r="AA5">
        <f>HOUR(A5)</f>
        <v/>
      </c>
      <c r="AB5">
        <f>AND(_xlfn.ISFORMULA(B5),IFERROR(ROUND(B5,4)=ROUND(AA5,4),EXACT(B5,AA5)))</f>
        <v/>
      </c>
    </row>
    <row r="6" ht="20" customHeight="1">
      <c r="A6" s="22" t="n">
        <v>0.5</v>
      </c>
      <c r="B6" s="15" t="n">
        <v>0</v>
      </c>
      <c r="AA6">
        <f>HOUR(A6)</f>
        <v/>
      </c>
      <c r="AB6">
        <f>AND(_xlfn.ISFORMULA(B6),IFERROR(ROUND(B6,4)=ROUND(AA6,4),EXACT(B6,AA6)))</f>
        <v/>
      </c>
    </row>
    <row r="7" ht="24" customHeight="1">
      <c r="A7" s="22" t="n">
        <v>0.7398148148148148</v>
      </c>
      <c r="B7" s="15" t="n">
        <v>0</v>
      </c>
      <c r="H7" s="12" t="inlineStr">
        <is>
          <t>채점</t>
        </is>
      </c>
      <c r="I7" s="18">
        <f>IF(NOT(_xlfn.ISFORMULA(B2)),"↖ 0 지우고 수식",IF(COUNTIF(AB2:AB7,TRUE)=6,"✔ 맞음","✘ 다시 ("&amp;COUNTIF(AB2:AB7,TRUE)&amp;" / 6칸)"))</f>
        <v/>
      </c>
      <c r="J7" s="19" t="n"/>
      <c r="K7" s="19" t="n"/>
      <c r="AA7">
        <f>HOUR(A7)</f>
        <v/>
      </c>
      <c r="AB7">
        <f>AND(_xlfn.ISFORMULA(B7),IFERROR(ROUND(B7,4)=ROUND(AA7,4),EXACT(B7,AA7)))</f>
        <v/>
      </c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분은 MINUTE, 초는 SECOND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날짜</t>
        </is>
      </c>
      <c r="B1" s="12" t="inlineStr">
        <is>
          <t>구분</t>
        </is>
      </c>
      <c r="H1" s="13" t="inlineStr">
        <is>
          <t>8번 · 주말인지 판정</t>
        </is>
      </c>
    </row>
    <row r="2" ht="22" customHeight="1">
      <c r="A2" s="14" t="n">
        <v>46088</v>
      </c>
      <c r="B2" s="15" t="n">
        <v>0</v>
      </c>
      <c r="H2" s="16" t="inlineStr">
        <is>
          <t>날짜[A2:A7]가 토요일이나 일요일이면 "주말", 아니면 "평일"을 [B2:B7]에 표시하시오. (WEEKDAY의 두 번째 인수 2 사용)</t>
        </is>
      </c>
      <c r="AA2">
        <f>IF(WEEKDAY(A2,2)&gt;=6,"주말","평일")</f>
        <v/>
      </c>
      <c r="AB2">
        <f>AND(_xlfn.ISFORMULA(B2),IFERROR(ROUND(B2,4)=ROUND(AA2,4),EXACT(B2,AA2)))</f>
        <v/>
      </c>
    </row>
    <row r="3" ht="22" customHeight="1">
      <c r="A3" s="14" t="n">
        <v>46089</v>
      </c>
      <c r="B3" s="15" t="n">
        <v>0</v>
      </c>
      <c r="AA3">
        <f>IF(WEEKDAY(A3,2)&gt;=6,"주말","평일")</f>
        <v/>
      </c>
      <c r="AB3">
        <f>AND(_xlfn.ISFORMULA(B3),IFERROR(ROUND(B3,4)=ROUND(AA3,4),EXACT(B3,AA3)))</f>
        <v/>
      </c>
    </row>
    <row r="4" ht="22" customHeight="1">
      <c r="A4" s="14" t="n">
        <v>46090</v>
      </c>
      <c r="B4" s="15" t="n">
        <v>0</v>
      </c>
      <c r="AA4">
        <f>IF(WEEKDAY(A4,2)&gt;=6,"주말","평일")</f>
        <v/>
      </c>
      <c r="AB4">
        <f>AND(_xlfn.ISFORMULA(B4),IFERROR(ROUND(B4,4)=ROUND(AA4,4),EXACT(B4,AA4)))</f>
        <v/>
      </c>
    </row>
    <row r="5" ht="20" customHeight="1">
      <c r="A5" s="14" t="n">
        <v>46094</v>
      </c>
      <c r="B5" s="15" t="n">
        <v>0</v>
      </c>
      <c r="H5" s="17" t="inlineStr">
        <is>
          <t>① B2 의 0 을 지우고 수식을 넣습니다.
② 채우기 핸들(칸 오른쪽 아래 ■)을 B7 까지 끌어내립니다.</t>
        </is>
      </c>
      <c r="AA5">
        <f>IF(WEEKDAY(A5,2)&gt;=6,"주말","평일")</f>
        <v/>
      </c>
      <c r="AB5">
        <f>AND(_xlfn.ISFORMULA(B5),IFERROR(ROUND(B5,4)=ROUND(AA5,4),EXACT(B5,AA5)))</f>
        <v/>
      </c>
    </row>
    <row r="6" ht="20" customHeight="1">
      <c r="A6" s="14" t="n">
        <v>46095</v>
      </c>
      <c r="B6" s="15" t="n">
        <v>0</v>
      </c>
      <c r="AA6">
        <f>IF(WEEKDAY(A6,2)&gt;=6,"주말","평일")</f>
        <v/>
      </c>
      <c r="AB6">
        <f>AND(_xlfn.ISFORMULA(B6),IFERROR(ROUND(B6,4)=ROUND(AA6,4),EXACT(B6,AA6)))</f>
        <v/>
      </c>
    </row>
    <row r="7" ht="24" customHeight="1">
      <c r="A7" s="14" t="n">
        <v>46092</v>
      </c>
      <c r="B7" s="15" t="n">
        <v>0</v>
      </c>
      <c r="H7" s="12" t="inlineStr">
        <is>
          <t>채점</t>
        </is>
      </c>
      <c r="I7" s="18">
        <f>IF(NOT(_xlfn.ISFORMULA(B2)),"↖ 0 지우고 수식",IF(COUNTIF(AB2:AB7,TRUE)=6,"✔ 맞음","✘ 다시 ("&amp;COUNTIF(AB2:AB7,TRUE)&amp;" / 6칸)"))</f>
        <v/>
      </c>
      <c r="J7" s="19" t="n"/>
      <c r="K7" s="19" t="n"/>
      <c r="AA7">
        <f>IF(WEEKDAY(A7,2)&gt;=6,"주말","평일")</f>
        <v/>
      </c>
      <c r="AB7">
        <f>AND(_xlfn.ISFORMULA(B7),IFERROR(ROUND(B7,4)=ROUND(AA7,4),EXACT(B7,AA7)))</f>
        <v/>
      </c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WEEKDAY(날짜, 2)는 월요일이 1, 토요일 6, 일요일 7입니다.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입사일</t>
        </is>
      </c>
      <c r="C1" s="12" t="inlineStr">
        <is>
          <t>입사연도</t>
        </is>
      </c>
      <c r="H1" s="13" t="inlineStr">
        <is>
          <t>9번 · 입사 연도와 근속 연수</t>
        </is>
      </c>
    </row>
    <row r="2" ht="22" customHeight="1">
      <c r="A2" s="7" t="inlineStr">
        <is>
          <t>김한별</t>
        </is>
      </c>
      <c r="B2" s="14" t="n">
        <v>43556</v>
      </c>
      <c r="C2" s="15" t="n">
        <v>0</v>
      </c>
      <c r="H2" s="16" t="inlineStr">
        <is>
          <t>입사일[B2:B6]에서 연도만 [C2:C6]에 표시하시오.</t>
        </is>
      </c>
      <c r="AA2">
        <f>YEAR(B2)</f>
        <v/>
      </c>
      <c r="AB2">
        <f>AND(_xlfn.ISFORMULA(C2),IFERROR(ROUND(C2,4)=ROUND(AA2,4),EXACT(C2,AA2)))</f>
        <v/>
      </c>
    </row>
    <row r="3" ht="22" customHeight="1">
      <c r="A3" s="7" t="inlineStr">
        <is>
          <t>이보람</t>
        </is>
      </c>
      <c r="B3" s="14" t="n">
        <v>45657</v>
      </c>
      <c r="C3" s="15" t="n">
        <v>0</v>
      </c>
      <c r="AA3">
        <f>YEAR(B3)</f>
        <v/>
      </c>
      <c r="AB3">
        <f>AND(_xlfn.ISFORMULA(C3),IFERROR(ROUND(C3,4)=ROUND(AA3,4),EXACT(C3,AA3)))</f>
        <v/>
      </c>
    </row>
    <row r="4" ht="22" customHeight="1">
      <c r="A4" s="7" t="inlineStr">
        <is>
          <t>정하늘</t>
        </is>
      </c>
      <c r="B4" s="14" t="n">
        <v>40179</v>
      </c>
      <c r="C4" s="15" t="n">
        <v>0</v>
      </c>
      <c r="AA4">
        <f>YEAR(B4)</f>
        <v/>
      </c>
      <c r="AB4">
        <f>AND(_xlfn.ISFORMULA(C4),IFERROR(ROUND(C4,4)=ROUND(AA4,4),EXACT(C4,AA4)))</f>
        <v/>
      </c>
    </row>
    <row r="5" ht="20" customHeight="1">
      <c r="A5" s="7" t="inlineStr">
        <is>
          <t>한겨울</t>
        </is>
      </c>
      <c r="B5" s="14" t="n">
        <v>44362</v>
      </c>
      <c r="C5" s="15" t="n">
        <v>0</v>
      </c>
      <c r="H5" s="17" t="inlineStr">
        <is>
          <t>① C2 의 0 을 지우고 수식을 넣습니다.
② 채우기 핸들(칸 오른쪽 아래 ■)을 C6 까지 끌어내립니다.</t>
        </is>
      </c>
      <c r="AA5">
        <f>YEAR(B5)</f>
        <v/>
      </c>
      <c r="AB5">
        <f>AND(_xlfn.ISFORMULA(C5),IFERROR(ROUND(C5,4)=ROUND(AA5,4),EXACT(C5,AA5)))</f>
        <v/>
      </c>
    </row>
    <row r="6" ht="20" customHeight="1">
      <c r="A6" s="7" t="inlineStr">
        <is>
          <t>서지호</t>
        </is>
      </c>
      <c r="B6" s="14" t="n">
        <v>35856</v>
      </c>
      <c r="C6" s="15" t="n">
        <v>0</v>
      </c>
      <c r="AA6">
        <f>YEAR(B6)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8">
        <f>IF(NOT(_xlfn.ISFORMULA(C2)),"↖ 0 지우고 수식",IF(COUNTIF(AB2:AB6,TRUE)=5,"✔ 맞음","✘ 다시 ("&amp;COUNTIF(AB2:AB6,TRUE)&amp;" / 5칸)"))</f>
        <v/>
      </c>
      <c r="J7" s="19" t="n"/>
      <c r="K7" s="19" t="n"/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월은 MONTH, 일은 DAY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3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입사 연도</t>
        </is>
      </c>
      <c r="C5" s="8" t="inlineStr">
        <is>
          <t>C2:C6</t>
        </is>
      </c>
      <c r="D5" s="24" t="inlineStr">
        <is>
          <t>=YEAR(B2)</t>
        </is>
      </c>
      <c r="E5" s="25" t="inlineStr">
        <is>
          <t>YEAR(날짜)</t>
        </is>
      </c>
    </row>
    <row r="6" ht="30" customHeight="1">
      <c r="A6" s="26" t="n">
        <v>2</v>
      </c>
      <c r="B6" s="27" t="inlineStr">
        <is>
          <t>출고 월</t>
        </is>
      </c>
      <c r="C6" s="27" t="inlineStr">
        <is>
          <t>C2:C6</t>
        </is>
      </c>
      <c r="D6" s="28" t="inlineStr">
        <is>
          <t>=MONTH(B2)</t>
        </is>
      </c>
      <c r="E6" s="29" t="inlineStr">
        <is>
          <t>MONTH(날짜)</t>
        </is>
      </c>
    </row>
    <row r="7" ht="30" customHeight="1">
      <c r="A7" s="7" t="n">
        <v>3</v>
      </c>
      <c r="B7" s="8" t="inlineStr">
        <is>
          <t>근속 연수</t>
        </is>
      </c>
      <c r="C7" s="8" t="inlineStr">
        <is>
          <t>D2:D6</t>
        </is>
      </c>
      <c r="D7" s="24" t="inlineStr">
        <is>
          <t>=YEAR(C2)-YEAR(B2)</t>
        </is>
      </c>
      <c r="E7" s="25" t="inlineStr">
        <is>
          <t>YEAR(기준일)-YEAR(입사일)</t>
        </is>
      </c>
    </row>
    <row r="8" ht="30" customHeight="1">
      <c r="A8" s="26" t="n">
        <v>4</v>
      </c>
      <c r="B8" s="27" t="inlineStr">
        <is>
          <t>주말/평일 판정</t>
        </is>
      </c>
      <c r="C8" s="27" t="inlineStr">
        <is>
          <t>B2:B7</t>
        </is>
      </c>
      <c r="D8" s="28" t="inlineStr">
        <is>
          <t>=IF(WEEKDAY(A2,2)&gt;=6,"주말","평일")</t>
        </is>
      </c>
      <c r="E8" s="29" t="inlineStr">
        <is>
          <t>WEEKDAY(날짜,2)가 6 이상이면 토·일.</t>
        </is>
      </c>
    </row>
    <row r="9" ht="30" customHeight="1">
      <c r="A9" s="7" t="n">
        <v>5</v>
      </c>
      <c r="B9" s="8" t="inlineStr">
        <is>
          <t>날짜 만들기</t>
        </is>
      </c>
      <c r="C9" s="8" t="inlineStr">
        <is>
          <t>D2:D6</t>
        </is>
      </c>
      <c r="D9" s="24" t="inlineStr">
        <is>
          <t>=DATE(A2,B2,C2)</t>
        </is>
      </c>
      <c r="E9" s="25" t="inlineStr">
        <is>
          <t>DATE(년, 월, 일)</t>
        </is>
      </c>
    </row>
    <row r="10" ht="30" customHeight="1">
      <c r="A10" s="26" t="n">
        <v>6</v>
      </c>
      <c r="B10" s="27" t="inlineStr">
        <is>
          <t>두 날짜 사이의 일수</t>
        </is>
      </c>
      <c r="C10" s="27" t="inlineStr">
        <is>
          <t>C2:C6</t>
        </is>
      </c>
      <c r="D10" s="28" t="inlineStr">
        <is>
          <t>=DAYS(B2,A2)</t>
        </is>
      </c>
      <c r="E10" s="29" t="inlineStr">
        <is>
          <t>DAYS(끝나는 날, 시작하는 날) — 순서에 주의</t>
        </is>
      </c>
    </row>
    <row r="11" ht="30" customHeight="1">
      <c r="A11" s="7" t="n">
        <v>7</v>
      </c>
      <c r="B11" s="8" t="inlineStr">
        <is>
          <t>시각에서 "시"만 꺼내기</t>
        </is>
      </c>
      <c r="C11" s="8" t="inlineStr">
        <is>
          <t>B2:B7</t>
        </is>
      </c>
      <c r="D11" s="24" t="inlineStr">
        <is>
          <t>=HOUR(A2)</t>
        </is>
      </c>
      <c r="E11" s="25" t="inlineStr">
        <is>
          <t>분은 MINUTE, 초는 SECOND</t>
        </is>
      </c>
    </row>
    <row r="12" ht="30" customHeight="1">
      <c r="A12" s="26" t="n">
        <v>8</v>
      </c>
      <c r="B12" s="27" t="inlineStr">
        <is>
          <t>주말인지 판정</t>
        </is>
      </c>
      <c r="C12" s="27" t="inlineStr">
        <is>
          <t>B2:B7</t>
        </is>
      </c>
      <c r="D12" s="28" t="inlineStr">
        <is>
          <t>=IF(WEEKDAY(A2,2)&gt;=6,"주말","평일")</t>
        </is>
      </c>
      <c r="E12" s="29" t="inlineStr">
        <is>
          <t>WEEKDAY(날짜, 2)는 월요일이 1, 토요일 6, 일요일 7입니다.</t>
        </is>
      </c>
    </row>
    <row r="13" ht="30" customHeight="1">
      <c r="A13" s="7" t="n">
        <v>9</v>
      </c>
      <c r="B13" s="8" t="inlineStr">
        <is>
          <t>입사 연도와 근속 연수</t>
        </is>
      </c>
      <c r="C13" s="8" t="inlineStr">
        <is>
          <t>C2:C6</t>
        </is>
      </c>
      <c r="D13" s="24" t="inlineStr">
        <is>
          <t>=YEAR(B2)</t>
        </is>
      </c>
      <c r="E13" s="25" t="inlineStr">
        <is>
          <t>월은 MONTH, 일은 DAY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2026-09-28T03:23:27Z</dcterms:created>
  <dcterms:modified xmlns:dcterms="http://purl.org/dc/terms/" xmlns:xsi="http://www.w3.org/2001/XMLSchema-instance" xsi:type="dcterms:W3CDTF">2026-09-28T03:23:27Z</dcterms:modified>
</cp:coreProperties>
</file>