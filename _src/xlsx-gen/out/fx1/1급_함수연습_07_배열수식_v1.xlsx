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조건 만족 인원배열" sheetId="3" state="visible" r:id="rId3"/>
    <sheet xmlns:r="http://schemas.openxmlformats.org/officeDocument/2006/relationships" name="02 조건 만족 합계배열" sheetId="4" state="visible" r:id="rId4"/>
    <sheet xmlns:r="http://schemas.openxmlformats.org/officeDocument/2006/relationships" name="03 조건 합계배열" sheetId="5" state="visible" r:id="rId5"/>
    <sheet xmlns:r="http://schemas.openxmlformats.org/officeDocument/2006/relationships" name="04 두 조건 개수배열" sheetId="6" state="visible" r:id="rId6"/>
    <sheet xmlns:r="http://schemas.openxmlformats.org/officeDocument/2006/relationships" name="05 조건에 맞는 것의 평균 배열" sheetId="7" state="visible" r:id="rId7"/>
    <sheet xmlns:r="http://schemas.openxmlformats.org/officeDocument/2006/relationships" name="06 두 조건을 만족하는 합계 배열" sheetId="8" state="visible" r:id="rId8"/>
    <sheet xmlns:r="http://schemas.openxmlformats.org/officeDocument/2006/relationships" name="07 가장 큰 값의 이름 찾기 배열" sheetId="9" state="visible" r:id="rId9"/>
    <sheet xmlns:r="http://schemas.openxmlformats.org/officeDocument/2006/relationships" name="08 조건에 맞는 개수 배열" sheetId="10" state="visible" r:id="rId10"/>
    <sheet xmlns:r="http://schemas.openxmlformats.org/officeDocument/2006/relationships" name="09 제품별 불량 합계 배열 수식" sheetId="11" state="visible" r:id="rId11"/>
    <sheet xmlns:r="http://schemas.openxmlformats.org/officeDocument/2006/relationships" name="정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10"/>
    </font>
    <font>
      <color rgb="007F7F7F"/>
      <sz val="9.5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배열수식 (9문제)</t>
        </is>
      </c>
    </row>
    <row r="3" ht="19" customHeight="1">
      <c r="B3" s="2" t="inlineStr">
        <is>
          <t>웹 「함수 연습소」의 [배열수식]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  <row r="14" ht="30" customHeight="1">
      <c r="A14" s="5" t="inlineStr">
        <is>
          <t>배열 수식은 수식을 다 쓴 뒤 Enter 가 아니라 Ctrl + Shift + Enter 로 마칩니다. 수식 양옆에 { } 가 저절로 붙으면 제대로 들어간 것입니다(직접 치면 안 됩니다).</t>
        </is>
      </c>
    </row>
  </sheetData>
  <mergeCells count="1">
    <mergeCell ref="A14:B14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6" t="inlineStr">
        <is>
          <t>채점표 — 배열수식 9문제</t>
        </is>
      </c>
    </row>
    <row r="3" ht="24" customHeight="1">
      <c r="A3" s="7" t="inlineStr">
        <is>
          <t>번호</t>
        </is>
      </c>
      <c r="B3" s="7" t="inlineStr">
        <is>
          <t>문제</t>
        </is>
      </c>
      <c r="C3" s="7" t="inlineStr">
        <is>
          <t>넣을 칸</t>
        </is>
      </c>
      <c r="D3" s="7" t="inlineStr">
        <is>
          <t>채점</t>
        </is>
      </c>
    </row>
    <row r="4">
      <c r="A4" s="8" t="n">
        <v>1</v>
      </c>
      <c r="B4" s="9" t="inlineStr">
        <is>
          <t>조건 만족 인원(배열)</t>
        </is>
      </c>
      <c r="C4" s="8" t="inlineStr">
        <is>
          <t>B6</t>
        </is>
      </c>
      <c r="D4" s="10">
        <f>'01 조건 만족 인원배열'!I6</f>
        <v/>
      </c>
    </row>
    <row r="5">
      <c r="A5" s="8" t="n">
        <v>2</v>
      </c>
      <c r="B5" s="9" t="inlineStr">
        <is>
          <t>조건 만족 합계(배열)</t>
        </is>
      </c>
      <c r="C5" s="8" t="inlineStr">
        <is>
          <t>C6</t>
        </is>
      </c>
      <c r="D5" s="10">
        <f>'02 조건 만족 합계배열'!I6</f>
        <v/>
      </c>
    </row>
    <row r="6">
      <c r="A6" s="8" t="n">
        <v>3</v>
      </c>
      <c r="B6" s="9" t="inlineStr">
        <is>
          <t>조건 합계(배열)</t>
        </is>
      </c>
      <c r="C6" s="8" t="inlineStr">
        <is>
          <t>C6</t>
        </is>
      </c>
      <c r="D6" s="10">
        <f>'03 조건 합계배열'!I6</f>
        <v/>
      </c>
    </row>
    <row r="7">
      <c r="A7" s="8" t="n">
        <v>4</v>
      </c>
      <c r="B7" s="9" t="inlineStr">
        <is>
          <t>두 조건 개수(배열)</t>
        </is>
      </c>
      <c r="C7" s="8" t="inlineStr">
        <is>
          <t>B6</t>
        </is>
      </c>
      <c r="D7" s="10">
        <f>'04 두 조건 개수배열'!I6</f>
        <v/>
      </c>
    </row>
    <row r="8">
      <c r="A8" s="8" t="n">
        <v>5</v>
      </c>
      <c r="B8" s="9" t="inlineStr">
        <is>
          <t>조건에 맞는 것의 평균 (배열)</t>
        </is>
      </c>
      <c r="C8" s="8" t="inlineStr">
        <is>
          <t>B6</t>
        </is>
      </c>
      <c r="D8" s="10">
        <f>'05 조건에 맞는 것의 평균 배열'!I6</f>
        <v/>
      </c>
    </row>
    <row r="9">
      <c r="A9" s="8" t="n">
        <v>6</v>
      </c>
      <c r="B9" s="9" t="inlineStr">
        <is>
          <t>두 조건을 만족하는 합계 (배열)</t>
        </is>
      </c>
      <c r="C9" s="8" t="inlineStr">
        <is>
          <t>C6</t>
        </is>
      </c>
      <c r="D9" s="10">
        <f>'06 두 조건을 만족하는 합계 배열'!I6</f>
        <v/>
      </c>
    </row>
    <row r="10">
      <c r="A10" s="8" t="n">
        <v>7</v>
      </c>
      <c r="B10" s="9" t="inlineStr">
        <is>
          <t>가장 큰 값의 이름 찾기 (배열)</t>
        </is>
      </c>
      <c r="C10" s="8" t="inlineStr">
        <is>
          <t>B6</t>
        </is>
      </c>
      <c r="D10" s="10">
        <f>'07 가장 큰 값의 이름 찾기 배열'!I6</f>
        <v/>
      </c>
    </row>
    <row r="11">
      <c r="A11" s="8" t="n">
        <v>8</v>
      </c>
      <c r="B11" s="9" t="inlineStr">
        <is>
          <t>조건에 맞는 개수 (배열)</t>
        </is>
      </c>
      <c r="C11" s="8" t="inlineStr">
        <is>
          <t>C6</t>
        </is>
      </c>
      <c r="D11" s="10">
        <f>'08 조건에 맞는 개수 배열'!I6</f>
        <v/>
      </c>
    </row>
    <row r="12">
      <c r="A12" s="8" t="n">
        <v>9</v>
      </c>
      <c r="B12" s="9" t="inlineStr">
        <is>
          <t>제품별 불량 합계 (배열 수식)</t>
        </is>
      </c>
      <c r="C12" s="8" t="inlineStr">
        <is>
          <t>F2 → F4</t>
        </is>
      </c>
      <c r="D12" s="10">
        <f>'09 제품별 불량 합계 배열 수식'!I7</f>
        <v/>
      </c>
    </row>
    <row r="14">
      <c r="B14" s="11" t="inlineStr">
        <is>
          <t>맞은 문제</t>
        </is>
      </c>
      <c r="D14" s="12">
        <f>COUNTIF(D4:D12,"*맞음*")&amp;" / 9"</f>
        <v/>
      </c>
    </row>
  </sheetData>
  <mergeCells count="1">
    <mergeCell ref="A1:D1"/>
  </mergeCells>
  <conditionalFormatting sqref="D4:D12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이름</t>
        </is>
      </c>
      <c r="B1" s="13" t="inlineStr">
        <is>
          <t>국어</t>
        </is>
      </c>
      <c r="C1" s="13" t="inlineStr">
        <is>
          <t>영어</t>
        </is>
      </c>
      <c r="H1" s="14" t="inlineStr">
        <is>
          <t>1번 · 조건 만족 인원(배열)</t>
        </is>
      </c>
    </row>
    <row r="2" ht="22" customHeight="1">
      <c r="A2" s="8" t="inlineStr">
        <is>
          <t>A</t>
        </is>
      </c>
      <c r="B2" s="8" t="n">
        <v>90</v>
      </c>
      <c r="C2" s="8" t="n">
        <v>85</v>
      </c>
      <c r="H2" s="15" t="inlineStr">
        <is>
          <t>국어[B2:B5]와 영어[C2:C5]가 모두 80 이상인 학생 수를 배열수식으로 [B6]에 구하시오.</t>
        </is>
      </c>
    </row>
    <row r="3" ht="22" customHeight="1">
      <c r="A3" s="8" t="inlineStr">
        <is>
          <t>B</t>
        </is>
      </c>
      <c r="B3" s="8" t="n">
        <v>70</v>
      </c>
      <c r="C3" s="8" t="n">
        <v>90</v>
      </c>
    </row>
    <row r="4" ht="22" customHeight="1">
      <c r="A4" s="8" t="inlineStr">
        <is>
          <t>C</t>
        </is>
      </c>
      <c r="B4" s="8" t="n">
        <v>85</v>
      </c>
      <c r="C4" s="8" t="n">
        <v>60</v>
      </c>
    </row>
    <row r="5" ht="20" customHeight="1">
      <c r="A5" s="8" t="inlineStr">
        <is>
          <t>D</t>
        </is>
      </c>
      <c r="B5" s="8" t="n">
        <v>95</v>
      </c>
      <c r="C5" s="8" t="n">
        <v>88</v>
      </c>
      <c r="H5" s="16" t="inlineStr">
        <is>
          <t>B6 의 0 을 지우고 수식을 넣습니다.</t>
        </is>
      </c>
    </row>
    <row r="6" ht="24" customHeight="1">
      <c r="A6" s="8" t="inlineStr">
        <is>
          <t>둘 다 80이상</t>
        </is>
      </c>
      <c r="B6" s="17" t="n">
        <v>0</v>
      </c>
      <c r="H6" s="13" t="inlineStr">
        <is>
          <t>채점</t>
        </is>
      </c>
      <c r="I6" s="18">
        <f>IF(NOT(_xlfn.ISFORMULA(B6)),"↖ 0 지우고 수식",IF(COUNTIF(AB6:AB6,TRUE)=1,"✔ 맞음","✘ 다시"))</f>
        <v/>
      </c>
      <c r="J6" s="19" t="n"/>
      <c r="K6" s="19" t="n"/>
      <c r="AA6">
        <f t="array" ref="AA6">SUM((B2:B5&gt;=80)*(C2:C5&gt;=80))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=SUM((조건1)*(조건2)) 형태. 실제 엑셀에선 Ctrl+Shift+Enter.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제품</t>
        </is>
      </c>
      <c r="B1" s="13" t="inlineStr">
        <is>
          <t>분류</t>
        </is>
      </c>
      <c r="C1" s="13" t="inlineStr">
        <is>
          <t>수량</t>
        </is>
      </c>
      <c r="H1" s="14" t="inlineStr">
        <is>
          <t>2번 · 조건 만족 합계(배열)</t>
        </is>
      </c>
    </row>
    <row r="2" ht="22" customHeight="1">
      <c r="A2" s="8" t="inlineStr">
        <is>
          <t>A</t>
        </is>
      </c>
      <c r="B2" s="8" t="inlineStr">
        <is>
          <t>가전</t>
        </is>
      </c>
      <c r="C2" s="8" t="n">
        <v>30</v>
      </c>
      <c r="H2" s="15" t="inlineStr">
        <is>
          <t>분류[B2:B5]가 "가전"인 제품의 수량[C2:C5] 합계를 배열수식으로 [C6]에 구하시오.</t>
        </is>
      </c>
    </row>
    <row r="3" ht="22" customHeight="1">
      <c r="A3" s="8" t="inlineStr">
        <is>
          <t>B</t>
        </is>
      </c>
      <c r="B3" s="8" t="inlineStr">
        <is>
          <t>식품</t>
        </is>
      </c>
      <c r="C3" s="8" t="n">
        <v>20</v>
      </c>
    </row>
    <row r="4" ht="22" customHeight="1">
      <c r="A4" s="8" t="inlineStr">
        <is>
          <t>C</t>
        </is>
      </c>
      <c r="B4" s="8" t="inlineStr">
        <is>
          <t>가전</t>
        </is>
      </c>
      <c r="C4" s="8" t="n">
        <v>50</v>
      </c>
    </row>
    <row r="5" ht="20" customHeight="1">
      <c r="A5" s="8" t="inlineStr">
        <is>
          <t>D</t>
        </is>
      </c>
      <c r="B5" s="8" t="inlineStr">
        <is>
          <t>가전</t>
        </is>
      </c>
      <c r="C5" s="8" t="n">
        <v>10</v>
      </c>
      <c r="H5" s="16" t="inlineStr">
        <is>
          <t>C6 의 0 을 지우고 수식을 넣습니다.</t>
        </is>
      </c>
    </row>
    <row r="6" ht="24" customHeight="1">
      <c r="A6" s="8" t="inlineStr">
        <is>
          <t>가전 수량합</t>
        </is>
      </c>
      <c r="C6" s="17" t="n">
        <v>0</v>
      </c>
      <c r="H6" s="13" t="inlineStr">
        <is>
          <t>채점</t>
        </is>
      </c>
      <c r="I6" s="18">
        <f>IF(NOT(_xlfn.ISFORMULA(C6)),"↖ 0 지우고 수식",IF(COUNTIF(AB6:AB6,TRUE)=1,"✔ 맞음","✘ 다시"))</f>
        <v/>
      </c>
      <c r="J6" s="19" t="n"/>
      <c r="K6" s="19" t="n"/>
      <c r="AA6">
        <f t="array" ref="AA6">SUM((B2:B5="가전")*C2:C5)</f>
        <v/>
      </c>
      <c r="AB6">
        <f>AND(_xlfn.ISFORMULA(C6),IFERROR(ROUND(C6,4)=ROUND(AA6,4),EXACT(C6,AA6)))</f>
        <v/>
      </c>
    </row>
    <row r="8" ht="18" customHeight="1">
      <c r="H8" s="20" t="inlineStr">
        <is>
          <t>💡 막히면: =SUM((조건)*합계범위) 형태.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제품</t>
        </is>
      </c>
      <c r="B1" s="13" t="inlineStr">
        <is>
          <t>지역</t>
        </is>
      </c>
      <c r="C1" s="13" t="inlineStr">
        <is>
          <t>수량</t>
        </is>
      </c>
      <c r="H1" s="14" t="inlineStr">
        <is>
          <t>3번 · 조건 합계(배열)</t>
        </is>
      </c>
    </row>
    <row r="2" ht="22" customHeight="1">
      <c r="A2" s="8" t="inlineStr">
        <is>
          <t>A</t>
        </is>
      </c>
      <c r="B2" s="8" t="inlineStr">
        <is>
          <t>서울</t>
        </is>
      </c>
      <c r="C2" s="8" t="n">
        <v>30</v>
      </c>
      <c r="H2" s="15" t="inlineStr">
        <is>
          <t>지역[B2:B5]이 "서울"인 제품의 수량[C2:C5] 합계를 배열수식으로 [C6]에 구하시오.</t>
        </is>
      </c>
    </row>
    <row r="3" ht="22" customHeight="1">
      <c r="A3" s="8" t="inlineStr">
        <is>
          <t>B</t>
        </is>
      </c>
      <c r="B3" s="8" t="inlineStr">
        <is>
          <t>부산</t>
        </is>
      </c>
      <c r="C3" s="8" t="n">
        <v>20</v>
      </c>
    </row>
    <row r="4" ht="22" customHeight="1">
      <c r="A4" s="8" t="inlineStr">
        <is>
          <t>C</t>
        </is>
      </c>
      <c r="B4" s="8" t="inlineStr">
        <is>
          <t>서울</t>
        </is>
      </c>
      <c r="C4" s="8" t="n">
        <v>40</v>
      </c>
    </row>
    <row r="5" ht="20" customHeight="1">
      <c r="A5" s="8" t="inlineStr">
        <is>
          <t>D</t>
        </is>
      </c>
      <c r="B5" s="8" t="inlineStr">
        <is>
          <t>서울</t>
        </is>
      </c>
      <c r="C5" s="8" t="n">
        <v>10</v>
      </c>
      <c r="H5" s="16" t="inlineStr">
        <is>
          <t>C6 의 0 을 지우고 수식을 넣습니다.</t>
        </is>
      </c>
    </row>
    <row r="6" ht="24" customHeight="1">
      <c r="A6" s="8" t="inlineStr">
        <is>
          <t>서울 수량합</t>
        </is>
      </c>
      <c r="C6" s="17" t="n">
        <v>0</v>
      </c>
      <c r="H6" s="13" t="inlineStr">
        <is>
          <t>채점</t>
        </is>
      </c>
      <c r="I6" s="18">
        <f>IF(NOT(_xlfn.ISFORMULA(C6)),"↖ 0 지우고 수식",IF(COUNTIF(AB6:AB6,TRUE)=1,"✔ 맞음","✘ 다시"))</f>
        <v/>
      </c>
      <c r="J6" s="19" t="n"/>
      <c r="K6" s="19" t="n"/>
      <c r="AA6">
        <f t="array" ref="AA6">SUM((B2:B5="서울")*C2:C5)</f>
        <v/>
      </c>
      <c r="AB6">
        <f>AND(_xlfn.ISFORMULA(C6),IFERROR(ROUND(C6,4)=ROUND(AA6,4),EXACT(C6,AA6)))</f>
        <v/>
      </c>
    </row>
    <row r="8" ht="18" customHeight="1">
      <c r="H8" s="20" t="inlineStr">
        <is>
          <t>💡 막히면: =SUM((조건)*합계범위)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이름</t>
        </is>
      </c>
      <c r="B1" s="13" t="inlineStr">
        <is>
          <t>국어</t>
        </is>
      </c>
      <c r="C1" s="13" t="inlineStr">
        <is>
          <t>영어</t>
        </is>
      </c>
      <c r="H1" s="14" t="inlineStr">
        <is>
          <t>4번 · 두 조건 개수(배열)</t>
        </is>
      </c>
    </row>
    <row r="2" ht="22" customHeight="1">
      <c r="A2" s="8" t="inlineStr">
        <is>
          <t>A</t>
        </is>
      </c>
      <c r="B2" s="8" t="n">
        <v>85</v>
      </c>
      <c r="C2" s="8" t="n">
        <v>70</v>
      </c>
      <c r="H2" s="15" t="inlineStr">
        <is>
          <t>국어[B2:B5]와 영어[C2:C5]가 모두 80 이상인 학생 수를 배열수식으로 [B6]에 구하시오.</t>
        </is>
      </c>
    </row>
    <row r="3" ht="22" customHeight="1">
      <c r="A3" s="8" t="inlineStr">
        <is>
          <t>B</t>
        </is>
      </c>
      <c r="B3" s="8" t="n">
        <v>90</v>
      </c>
      <c r="C3" s="8" t="n">
        <v>92</v>
      </c>
    </row>
    <row r="4" ht="22" customHeight="1">
      <c r="A4" s="8" t="inlineStr">
        <is>
          <t>C</t>
        </is>
      </c>
      <c r="B4" s="8" t="n">
        <v>60</v>
      </c>
      <c r="C4" s="8" t="n">
        <v>88</v>
      </c>
    </row>
    <row r="5" ht="20" customHeight="1">
      <c r="A5" s="8" t="inlineStr">
        <is>
          <t>D</t>
        </is>
      </c>
      <c r="B5" s="8" t="n">
        <v>95</v>
      </c>
      <c r="C5" s="8" t="n">
        <v>91</v>
      </c>
      <c r="H5" s="16" t="inlineStr">
        <is>
          <t>B6 의 0 을 지우고 수식을 넣습니다.</t>
        </is>
      </c>
    </row>
    <row r="6" ht="24" customHeight="1">
      <c r="A6" s="8" t="inlineStr">
        <is>
          <t>둘다 80이상</t>
        </is>
      </c>
      <c r="B6" s="17" t="n">
        <v>0</v>
      </c>
      <c r="H6" s="13" t="inlineStr">
        <is>
          <t>채점</t>
        </is>
      </c>
      <c r="I6" s="18">
        <f>IF(NOT(_xlfn.ISFORMULA(B6)),"↖ 0 지우고 수식",IF(COUNTIF(AB6:AB6,TRUE)=1,"✔ 맞음","✘ 다시"))</f>
        <v/>
      </c>
      <c r="J6" s="19" t="n"/>
      <c r="K6" s="19" t="n"/>
      <c r="AA6">
        <f t="array" ref="AA6">SUM((B2:B5&gt;=80)*(C2:C5&gt;=80))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=SUM((조건1)*(조건2))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지점</t>
        </is>
      </c>
      <c r="B1" s="13" t="inlineStr">
        <is>
          <t>매출</t>
        </is>
      </c>
      <c r="H1" s="14" t="inlineStr">
        <is>
          <t>5번 · 조건에 맞는 것의 평균 (배열)</t>
        </is>
      </c>
    </row>
    <row r="2" ht="22" customHeight="1">
      <c r="A2" s="8" t="inlineStr">
        <is>
          <t>서울</t>
        </is>
      </c>
      <c r="B2" s="8" t="n">
        <v>320</v>
      </c>
      <c r="H2" s="15" t="inlineStr">
        <is>
          <t>지점[A2:A5]이 "서울"인 매출[B2:B5]의 평균을 배열 수식으로 [B6]에 구하시오.</t>
        </is>
      </c>
    </row>
    <row r="3" ht="22" customHeight="1">
      <c r="A3" s="8" t="inlineStr">
        <is>
          <t>부산</t>
        </is>
      </c>
      <c r="B3" s="8" t="n">
        <v>180</v>
      </c>
    </row>
    <row r="4" ht="22" customHeight="1">
      <c r="A4" s="8" t="inlineStr">
        <is>
          <t>서울</t>
        </is>
      </c>
      <c r="B4" s="8" t="n">
        <v>400</v>
      </c>
    </row>
    <row r="5" ht="20" customHeight="1">
      <c r="A5" s="8" t="inlineStr">
        <is>
          <t>부산</t>
        </is>
      </c>
      <c r="B5" s="8" t="n">
        <v>260</v>
      </c>
      <c r="H5" s="16" t="inlineStr">
        <is>
          <t>B6 의 0 을 지우고 수식을 넣습니다.</t>
        </is>
      </c>
    </row>
    <row r="6" ht="24" customHeight="1">
      <c r="B6" s="17" t="n">
        <v>0</v>
      </c>
      <c r="H6" s="13" t="inlineStr">
        <is>
          <t>채점</t>
        </is>
      </c>
      <c r="I6" s="18">
        <f>IF(NOT(_xlfn.ISFORMULA(B6)),"↖ 0 지우고 수식",IF(COUNTIF(AB6:AB6,TRUE)=1,"✔ 맞음","✘ 다시"))</f>
        <v/>
      </c>
      <c r="J6" s="19" t="n"/>
      <c r="K6" s="19" t="n"/>
      <c r="AA6">
        <f t="array" ref="AA6">SUM((A2:A5="서울")*B2:B5)/SUM((A2:A5="서울")*1)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조건을 곱해 합을 구하고, 조건 개수로 나눕니다.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지점</t>
        </is>
      </c>
      <c r="B1" s="13" t="inlineStr">
        <is>
          <t>분기</t>
        </is>
      </c>
      <c r="C1" s="13" t="inlineStr">
        <is>
          <t>매출</t>
        </is>
      </c>
      <c r="H1" s="14" t="inlineStr">
        <is>
          <t>6번 · 두 조건을 만족하는 합계 (배열)</t>
        </is>
      </c>
    </row>
    <row r="2" ht="22" customHeight="1">
      <c r="A2" s="8" t="inlineStr">
        <is>
          <t>서울</t>
        </is>
      </c>
      <c r="B2" s="8" t="inlineStr">
        <is>
          <t>1분기</t>
        </is>
      </c>
      <c r="C2" s="8" t="n">
        <v>320</v>
      </c>
      <c r="H2" s="15" t="inlineStr">
        <is>
          <t>지점이 "서울"이고 분기가 "1분기"인 매출의 합계를 배열 수식으로 [C6]에 구하시오.</t>
        </is>
      </c>
    </row>
    <row r="3" ht="22" customHeight="1">
      <c r="A3" s="8" t="inlineStr">
        <is>
          <t>부산</t>
        </is>
      </c>
      <c r="B3" s="8" t="inlineStr">
        <is>
          <t>1분기</t>
        </is>
      </c>
      <c r="C3" s="8" t="n">
        <v>180</v>
      </c>
    </row>
    <row r="4" ht="22" customHeight="1">
      <c r="A4" s="8" t="inlineStr">
        <is>
          <t>서울</t>
        </is>
      </c>
      <c r="B4" s="8" t="inlineStr">
        <is>
          <t>2분기</t>
        </is>
      </c>
      <c r="C4" s="8" t="n">
        <v>400</v>
      </c>
    </row>
    <row r="5" ht="20" customHeight="1">
      <c r="A5" s="8" t="inlineStr">
        <is>
          <t>서울</t>
        </is>
      </c>
      <c r="B5" s="8" t="inlineStr">
        <is>
          <t>1분기</t>
        </is>
      </c>
      <c r="C5" s="8" t="n">
        <v>150</v>
      </c>
      <c r="H5" s="16" t="inlineStr">
        <is>
          <t>C6 의 0 을 지우고 수식을 넣습니다.</t>
        </is>
      </c>
    </row>
    <row r="6" ht="24" customHeight="1">
      <c r="C6" s="17" t="n">
        <v>0</v>
      </c>
      <c r="H6" s="13" t="inlineStr">
        <is>
          <t>채점</t>
        </is>
      </c>
      <c r="I6" s="18">
        <f>IF(NOT(_xlfn.ISFORMULA(C6)),"↖ 0 지우고 수식",IF(COUNTIF(AB6:AB6,TRUE)=1,"✔ 맞음","✘ 다시"))</f>
        <v/>
      </c>
      <c r="J6" s="19" t="n"/>
      <c r="K6" s="19" t="n"/>
      <c r="AA6">
        <f t="array" ref="AA6">SUM((A2:A5="서울")*(B2:B5="1분기")*C2:C5)</f>
        <v/>
      </c>
      <c r="AB6">
        <f>AND(_xlfn.ISFORMULA(C6),IFERROR(ROUND(C6,4)=ROUND(AA6,4),EXACT(C6,AA6)))</f>
        <v/>
      </c>
    </row>
    <row r="8" ht="18" customHeight="1">
      <c r="H8" s="20" t="inlineStr">
        <is>
          <t>💡 막히면: 조건끼리 곱하면 그리고(AND)가 됩니다.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이름</t>
        </is>
      </c>
      <c r="B1" s="13" t="inlineStr">
        <is>
          <t>점수</t>
        </is>
      </c>
      <c r="H1" s="14" t="inlineStr">
        <is>
          <t>7번 · 가장 큰 값의 이름 찾기 (배열)</t>
        </is>
      </c>
    </row>
    <row r="2" ht="22" customHeight="1">
      <c r="A2" s="8" t="inlineStr">
        <is>
          <t>김한별</t>
        </is>
      </c>
      <c r="B2" s="8" t="n">
        <v>80</v>
      </c>
      <c r="H2" s="15" t="inlineStr">
        <is>
          <t>점수[B2:B5]가 가장 높은 사람의 이름을 [B6]에 구하시오. (INDEX와 MATCH 이용)</t>
        </is>
      </c>
    </row>
    <row r="3" ht="22" customHeight="1">
      <c r="A3" s="8" t="inlineStr">
        <is>
          <t>이보람</t>
        </is>
      </c>
      <c r="B3" s="8" t="n">
        <v>95</v>
      </c>
    </row>
    <row r="4" ht="22" customHeight="1">
      <c r="A4" s="8" t="inlineStr">
        <is>
          <t>정하늘</t>
        </is>
      </c>
      <c r="B4" s="8" t="n">
        <v>60</v>
      </c>
    </row>
    <row r="5" ht="20" customHeight="1">
      <c r="A5" s="8" t="inlineStr">
        <is>
          <t>한겨울</t>
        </is>
      </c>
      <c r="B5" s="8" t="n">
        <v>88</v>
      </c>
      <c r="H5" s="16" t="inlineStr">
        <is>
          <t>B6 의 0 을 지우고 수식을 넣습니다.</t>
        </is>
      </c>
    </row>
    <row r="6" ht="24" customHeight="1">
      <c r="B6" s="17" t="n">
        <v>0</v>
      </c>
      <c r="H6" s="13" t="inlineStr">
        <is>
          <t>채점</t>
        </is>
      </c>
      <c r="I6" s="18">
        <f>IF(NOT(_xlfn.ISFORMULA(B6)),"↖ 0 지우고 수식",IF(COUNTIF(AB6:AB6,TRUE)=1,"✔ 맞음","✘ 다시"))</f>
        <v/>
      </c>
      <c r="J6" s="19" t="n"/>
      <c r="K6" s="19" t="n"/>
      <c r="AA6">
        <f t="array" ref="AA6">INDEX(A2:A5,MATCH(MAX(B2:B5),B2:B5,0))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MATCH로 몇 번째인지 찾고, INDEX로 그 자리의 값을 꺼냅니다.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이름</t>
        </is>
      </c>
      <c r="B1" s="13" t="inlineStr">
        <is>
          <t>국어</t>
        </is>
      </c>
      <c r="C1" s="13" t="inlineStr">
        <is>
          <t>영어</t>
        </is>
      </c>
      <c r="H1" s="14" t="inlineStr">
        <is>
          <t>8번 · 조건에 맞는 개수 (배열)</t>
        </is>
      </c>
    </row>
    <row r="2" ht="22" customHeight="1">
      <c r="A2" s="8" t="inlineStr">
        <is>
          <t>김한별</t>
        </is>
      </c>
      <c r="B2" s="8" t="n">
        <v>80</v>
      </c>
      <c r="C2" s="8" t="n">
        <v>90</v>
      </c>
      <c r="H2" s="15" t="inlineStr">
        <is>
          <t>국어와 영어가 모두 85 이상인 학생 수를 배열 수식으로 [C6]에 구하시오.</t>
        </is>
      </c>
    </row>
    <row r="3" ht="22" customHeight="1">
      <c r="A3" s="8" t="inlineStr">
        <is>
          <t>이보람</t>
        </is>
      </c>
      <c r="B3" s="8" t="n">
        <v>95</v>
      </c>
      <c r="C3" s="8" t="n">
        <v>85</v>
      </c>
    </row>
    <row r="4" ht="22" customHeight="1">
      <c r="A4" s="8" t="inlineStr">
        <is>
          <t>정하늘</t>
        </is>
      </c>
      <c r="B4" s="8" t="n">
        <v>60</v>
      </c>
      <c r="C4" s="8" t="n">
        <v>70</v>
      </c>
    </row>
    <row r="5" ht="20" customHeight="1">
      <c r="A5" s="8" t="inlineStr">
        <is>
          <t>한겨울</t>
        </is>
      </c>
      <c r="B5" s="8" t="n">
        <v>88</v>
      </c>
      <c r="C5" s="8" t="n">
        <v>92</v>
      </c>
      <c r="H5" s="16" t="inlineStr">
        <is>
          <t>C6 의 0 을 지우고 수식을 넣습니다.</t>
        </is>
      </c>
    </row>
    <row r="6" ht="24" customHeight="1">
      <c r="C6" s="17" t="n">
        <v>0</v>
      </c>
      <c r="H6" s="13" t="inlineStr">
        <is>
          <t>채점</t>
        </is>
      </c>
      <c r="I6" s="18">
        <f>IF(NOT(_xlfn.ISFORMULA(C6)),"↖ 0 지우고 수식",IF(COUNTIF(AB6:AB6,TRUE)=1,"✔ 맞음","✘ 다시"))</f>
        <v/>
      </c>
      <c r="J6" s="19" t="n"/>
      <c r="K6" s="19" t="n"/>
      <c r="AA6">
        <f t="array" ref="AA6">SUM((B2:B5&gt;=85)*(C2:C5&gt;=85))</f>
        <v/>
      </c>
      <c r="AB6">
        <f>AND(_xlfn.ISFORMULA(C6),IFERROR(ROUND(C6,4)=ROUND(AA6,4),EXACT(C6,AA6)))</f>
        <v/>
      </c>
    </row>
    <row r="8" ht="18" customHeight="1">
      <c r="H8" s="20" t="inlineStr">
        <is>
          <t>💡 막히면: 참(TRUE)은 1, 거짓(FALSE)은 0으로 계산됩니다.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3" t="inlineStr">
        <is>
          <t>제품</t>
        </is>
      </c>
      <c r="B1" s="13" t="inlineStr">
        <is>
          <t>라인</t>
        </is>
      </c>
      <c r="C1" s="13" t="inlineStr">
        <is>
          <t>불량</t>
        </is>
      </c>
      <c r="D1" s="19" t="n"/>
      <c r="E1" s="13" t="inlineStr">
        <is>
          <t>제품</t>
        </is>
      </c>
      <c r="F1" s="13" t="inlineStr">
        <is>
          <t>불량 합계</t>
        </is>
      </c>
      <c r="H1" s="14" t="inlineStr">
        <is>
          <t>9번 · 제품별 불량 합계 (배열 수식)</t>
        </is>
      </c>
    </row>
    <row r="2" ht="22" customHeight="1">
      <c r="A2" s="8" t="inlineStr">
        <is>
          <t>기어</t>
        </is>
      </c>
      <c r="B2" s="8" t="inlineStr">
        <is>
          <t>A</t>
        </is>
      </c>
      <c r="C2" s="8" t="n">
        <v>12</v>
      </c>
      <c r="E2" s="8" t="inlineStr">
        <is>
          <t>축</t>
        </is>
      </c>
      <c r="F2" s="17" t="n">
        <v>0</v>
      </c>
      <c r="H2" s="15" t="inlineStr">
        <is>
          <t>제품[A2:A8]이 [E2:E4]의 제품과 같은 것의 불량 합계를 배열 수식으로 [F2:F4]에 구하시오. (SUM 사용)</t>
        </is>
      </c>
      <c r="AA2">
        <f t="array" ref="AA2">SUM(($A$2:$A$8=E2)*$C$2:$C$8)</f>
        <v/>
      </c>
      <c r="AB2">
        <f>AND(_xlfn.ISFORMULA(F2),IFERROR(ROUND(F2,4)=ROUND(AA2,4),EXACT(F2,AA2)))</f>
        <v/>
      </c>
    </row>
    <row r="3" ht="22" customHeight="1">
      <c r="A3" s="8" t="inlineStr">
        <is>
          <t>축</t>
        </is>
      </c>
      <c r="B3" s="8" t="inlineStr">
        <is>
          <t>B</t>
        </is>
      </c>
      <c r="C3" s="8" t="n">
        <v>7</v>
      </c>
      <c r="E3" s="8" t="inlineStr">
        <is>
          <t>기어</t>
        </is>
      </c>
      <c r="F3" s="17" t="n">
        <v>0</v>
      </c>
      <c r="AA3">
        <f t="array" ref="AA3">SUM(($A$2:$A$8=E3)*$C$2:$C$8)</f>
        <v/>
      </c>
      <c r="AB3">
        <f>AND(_xlfn.ISFORMULA(F3),IFERROR(ROUND(F3,4)=ROUND(AA3,4),EXACT(F3,AA3)))</f>
        <v/>
      </c>
    </row>
    <row r="4" ht="22" customHeight="1">
      <c r="A4" s="8" t="inlineStr">
        <is>
          <t>기어</t>
        </is>
      </c>
      <c r="B4" s="8" t="inlineStr">
        <is>
          <t>B</t>
        </is>
      </c>
      <c r="C4" s="8" t="n">
        <v>5</v>
      </c>
      <c r="E4" s="8" t="inlineStr">
        <is>
          <t>밸브</t>
        </is>
      </c>
      <c r="F4" s="17" t="n">
        <v>0</v>
      </c>
      <c r="AA4">
        <f t="array" ref="AA4">SUM(($A$2:$A$8=E4)*$C$2:$C$8)</f>
        <v/>
      </c>
      <c r="AB4">
        <f>AND(_xlfn.ISFORMULA(F4),IFERROR(ROUND(F4,4)=ROUND(AA4,4),EXACT(F4,AA4)))</f>
        <v/>
      </c>
    </row>
    <row r="5" ht="20" customHeight="1">
      <c r="A5" s="8" t="inlineStr">
        <is>
          <t>밸브</t>
        </is>
      </c>
      <c r="B5" s="8" t="inlineStr">
        <is>
          <t>A</t>
        </is>
      </c>
      <c r="C5" s="8" t="n">
        <v>9</v>
      </c>
      <c r="H5" s="16" t="inlineStr">
        <is>
          <t>① F2 의 0 을 지우고 수식을 넣습니다.
② 채우기 핸들(칸 오른쪽 아래 ■)을 F4 까지 끌어내립니다.</t>
        </is>
      </c>
    </row>
    <row r="6" ht="20" customHeight="1">
      <c r="A6" s="8" t="inlineStr">
        <is>
          <t>축</t>
        </is>
      </c>
      <c r="B6" s="8" t="inlineStr">
        <is>
          <t>A</t>
        </is>
      </c>
      <c r="C6" s="8" t="n">
        <v>3</v>
      </c>
    </row>
    <row r="7" ht="24" customHeight="1">
      <c r="A7" s="8" t="inlineStr">
        <is>
          <t>기어</t>
        </is>
      </c>
      <c r="B7" s="8" t="inlineStr">
        <is>
          <t>C</t>
        </is>
      </c>
      <c r="C7" s="8" t="n">
        <v>8</v>
      </c>
      <c r="H7" s="13" t="inlineStr">
        <is>
          <t>채점</t>
        </is>
      </c>
      <c r="I7" s="18">
        <f>IF(NOT(_xlfn.ISFORMULA(F2)),"↖ 0 지우고 수식",IF(COUNTIF(AB2:AB4,TRUE)=3,"✔ 맞음","✘ 다시 ("&amp;COUNTIF(AB2:AB4,TRUE)&amp;" / 3칸)"))</f>
        <v/>
      </c>
      <c r="J7" s="19" t="n"/>
      <c r="K7" s="19" t="n"/>
    </row>
    <row r="8" ht="18" customHeight="1">
      <c r="A8" s="8" t="inlineStr">
        <is>
          <t>밸브</t>
        </is>
      </c>
      <c r="B8" s="8" t="inlineStr">
        <is>
          <t>C</t>
        </is>
      </c>
      <c r="C8" s="8" t="n">
        <v>4</v>
      </c>
      <c r="H8" s="21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=SUM((조건 범위=조건)*합계 범위). 조건(E2)만 내려가고 두 범위는 고정. 엑셀에서는 Ctrl+Shift+Enter.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6" t="inlineStr">
        <is>
          <t>정답 — 먼저 스스로 풀어 본 뒤에 보세요</t>
        </is>
      </c>
    </row>
    <row r="2" ht="30" customHeight="1">
      <c r="A2" s="5" t="inlineStr">
        <is>
          <t>[넣을 칸] 의 첫 칸에 이 수식을 넣고, 칸이 여러 개면 끝까지 끌어내리면 됩니다.</t>
        </is>
      </c>
    </row>
    <row r="4" ht="24" customHeight="1">
      <c r="A4" s="7" t="inlineStr">
        <is>
          <t>번호</t>
        </is>
      </c>
      <c r="B4" s="7" t="inlineStr">
        <is>
          <t>문제</t>
        </is>
      </c>
      <c r="C4" s="7" t="inlineStr">
        <is>
          <t>넣을 칸</t>
        </is>
      </c>
      <c r="D4" s="7" t="inlineStr">
        <is>
          <t>모범답안 (첫 칸)</t>
        </is>
      </c>
      <c r="E4" s="7" t="inlineStr">
        <is>
          <t>힌트</t>
        </is>
      </c>
    </row>
    <row r="5" ht="30" customHeight="1">
      <c r="A5" s="8" t="n">
        <v>1</v>
      </c>
      <c r="B5" s="9" t="inlineStr">
        <is>
          <t>조건 만족 인원(배열)</t>
        </is>
      </c>
      <c r="C5" s="9" t="inlineStr">
        <is>
          <t>B6</t>
        </is>
      </c>
      <c r="D5" s="22" t="inlineStr">
        <is>
          <t>=SUM((B2:B5&gt;=80)*(C2:C5&gt;=80))</t>
        </is>
      </c>
      <c r="E5" s="23" t="inlineStr">
        <is>
          <t>=SUM((조건1)*(조건2)) 형태. 실제 엑셀에선 Ctrl+Shift+Enter.</t>
        </is>
      </c>
    </row>
    <row r="6" ht="30" customHeight="1">
      <c r="A6" s="24" t="n">
        <v>2</v>
      </c>
      <c r="B6" s="25" t="inlineStr">
        <is>
          <t>조건 만족 합계(배열)</t>
        </is>
      </c>
      <c r="C6" s="25" t="inlineStr">
        <is>
          <t>C6</t>
        </is>
      </c>
      <c r="D6" s="26" t="inlineStr">
        <is>
          <t>=SUM((B2:B5="가전")*C2:C5)</t>
        </is>
      </c>
      <c r="E6" s="27" t="inlineStr">
        <is>
          <t>=SUM((조건)*합계범위) 형태.</t>
        </is>
      </c>
    </row>
    <row r="7" ht="30" customHeight="1">
      <c r="A7" s="8" t="n">
        <v>3</v>
      </c>
      <c r="B7" s="9" t="inlineStr">
        <is>
          <t>조건 합계(배열)</t>
        </is>
      </c>
      <c r="C7" s="9" t="inlineStr">
        <is>
          <t>C6</t>
        </is>
      </c>
      <c r="D7" s="22" t="inlineStr">
        <is>
          <t>=SUM((B2:B5="서울")*C2:C5)</t>
        </is>
      </c>
      <c r="E7" s="23" t="inlineStr">
        <is>
          <t>=SUM((조건)*합계범위)</t>
        </is>
      </c>
    </row>
    <row r="8" ht="30" customHeight="1">
      <c r="A8" s="24" t="n">
        <v>4</v>
      </c>
      <c r="B8" s="25" t="inlineStr">
        <is>
          <t>두 조건 개수(배열)</t>
        </is>
      </c>
      <c r="C8" s="25" t="inlineStr">
        <is>
          <t>B6</t>
        </is>
      </c>
      <c r="D8" s="26" t="inlineStr">
        <is>
          <t>=SUM((B2:B5&gt;=80)*(C2:C5&gt;=80))</t>
        </is>
      </c>
      <c r="E8" s="27" t="inlineStr">
        <is>
          <t>=SUM((조건1)*(조건2))</t>
        </is>
      </c>
    </row>
    <row r="9" ht="30" customHeight="1">
      <c r="A9" s="8" t="n">
        <v>5</v>
      </c>
      <c r="B9" s="9" t="inlineStr">
        <is>
          <t>조건에 맞는 것의 평균 (배열)</t>
        </is>
      </c>
      <c r="C9" s="9" t="inlineStr">
        <is>
          <t>B6</t>
        </is>
      </c>
      <c r="D9" s="22" t="inlineStr">
        <is>
          <t>=SUM((A2:A5="서울")*B2:B5)/SUM((A2:A5="서울")*1)</t>
        </is>
      </c>
      <c r="E9" s="23" t="inlineStr">
        <is>
          <t>조건을 곱해 합을 구하고, 조건 개수로 나눕니다.</t>
        </is>
      </c>
    </row>
    <row r="10" ht="30" customHeight="1">
      <c r="A10" s="24" t="n">
        <v>6</v>
      </c>
      <c r="B10" s="25" t="inlineStr">
        <is>
          <t>두 조건을 만족하는 합계 (배열)</t>
        </is>
      </c>
      <c r="C10" s="25" t="inlineStr">
        <is>
          <t>C6</t>
        </is>
      </c>
      <c r="D10" s="26" t="inlineStr">
        <is>
          <t>=SUM((A2:A5="서울")*(B2:B5="1분기")*C2:C5)</t>
        </is>
      </c>
      <c r="E10" s="27" t="inlineStr">
        <is>
          <t>조건끼리 곱하면 그리고(AND)가 됩니다.</t>
        </is>
      </c>
    </row>
    <row r="11" ht="30" customHeight="1">
      <c r="A11" s="8" t="n">
        <v>7</v>
      </c>
      <c r="B11" s="9" t="inlineStr">
        <is>
          <t>가장 큰 값의 이름 찾기 (배열)</t>
        </is>
      </c>
      <c r="C11" s="9" t="inlineStr">
        <is>
          <t>B6</t>
        </is>
      </c>
      <c r="D11" s="22" t="inlineStr">
        <is>
          <t>=INDEX(A2:A5,MATCH(MAX(B2:B5),B2:B5,0))</t>
        </is>
      </c>
      <c r="E11" s="23" t="inlineStr">
        <is>
          <t>MATCH로 몇 번째인지 찾고, INDEX로 그 자리의 값을 꺼냅니다.</t>
        </is>
      </c>
    </row>
    <row r="12" ht="30" customHeight="1">
      <c r="A12" s="24" t="n">
        <v>8</v>
      </c>
      <c r="B12" s="25" t="inlineStr">
        <is>
          <t>조건에 맞는 개수 (배열)</t>
        </is>
      </c>
      <c r="C12" s="25" t="inlineStr">
        <is>
          <t>C6</t>
        </is>
      </c>
      <c r="D12" s="26" t="inlineStr">
        <is>
          <t>=SUM((B2:B5&gt;=85)*(C2:C5&gt;=85))</t>
        </is>
      </c>
      <c r="E12" s="27" t="inlineStr">
        <is>
          <t>참(TRUE)은 1, 거짓(FALSE)은 0으로 계산됩니다.</t>
        </is>
      </c>
    </row>
    <row r="13" ht="30" customHeight="1">
      <c r="A13" s="8" t="n">
        <v>9</v>
      </c>
      <c r="B13" s="9" t="inlineStr">
        <is>
          <t>제품별 불량 합계 (배열 수식)</t>
        </is>
      </c>
      <c r="C13" s="9" t="inlineStr">
        <is>
          <t>F2:F4</t>
        </is>
      </c>
      <c r="D13" s="22" t="inlineStr">
        <is>
          <t>=SUM(($A$2:$A$8=E2)*$C$2:$C$8)</t>
        </is>
      </c>
      <c r="E13" s="23" t="inlineStr">
        <is>
          <t>=SUM((조건 범위=조건)*합계 범위). 조건(E2)만 내려가고 두 범위는 고정. 엑셀에서는 Ctrl+Shift+Enter.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2026-09-28T03:23:27Z</dcterms:created>
  <dcterms:modified xmlns:dcterms="http://purl.org/dc/terms/" xmlns:xsi="http://www.w3.org/2001/XMLSchema-instance" xsi:type="dcterms:W3CDTF">2026-09-28T03:23:27Z</dcterms:modified>
</cp:coreProperties>
</file>