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점수로 등급 찾기" sheetId="3" state="visible" r:id="rId3"/>
    <sheet xmlns:r="http://schemas.openxmlformats.org/officeDocument/2006/relationships" name="02 사번으로 이름 찾기" sheetId="4" state="visible" r:id="rId4"/>
    <sheet xmlns:r="http://schemas.openxmlformats.org/officeDocument/2006/relationships" name="03 가로 표에서 찾기" sheetId="5" state="visible" r:id="rId5"/>
    <sheet xmlns:r="http://schemas.openxmlformats.org/officeDocument/2006/relationships" name="04 INDEX+MATCH" sheetId="6" state="visible" r:id="rId6"/>
    <sheet xmlns:r="http://schemas.openxmlformats.org/officeDocument/2006/relationships" name="05 코드로 요일" sheetId="7" state="visible" r:id="rId7"/>
    <sheet xmlns:r="http://schemas.openxmlformats.org/officeDocument/2006/relationships" name="06 INDEX + MATCH로 가로세로 찾기" sheetId="8" state="visible" r:id="rId8"/>
    <sheet xmlns:r="http://schemas.openxmlformats.org/officeDocument/2006/relationships" name="07 VLOOKUP과 IFERROR 함께" sheetId="9" state="visible" r:id="rId9"/>
    <sheet xmlns:r="http://schemas.openxmlformats.org/officeDocument/2006/relationships" name="08 HLOOKUP 구간 조회" sheetId="10" state="visible" r:id="rId10"/>
    <sheet xmlns:r="http://schemas.openxmlformats.org/officeDocument/2006/relationships" name="09 CHOOSE로 번호에 맞는 값" sheetId="11" state="visible" r:id="rId11"/>
    <sheet xmlns:r="http://schemas.openxmlformats.org/officeDocument/2006/relationships" name="10 행·열 두 방향으로 찾기" sheetId="12" state="visible" r:id="rId12"/>
    <sheet xmlns:r="http://schemas.openxmlformats.org/officeDocument/2006/relationships" name="정답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찾기참조 (10문제)</t>
        </is>
      </c>
    </row>
    <row r="3" ht="19" customHeight="1">
      <c r="B3" s="2" t="inlineStr">
        <is>
          <t>웹 「함수 연습소」의 [찾기·참조]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찾기참조 10문제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점수로 등급 찾기</t>
        </is>
      </c>
      <c r="C4" s="7" t="inlineStr">
        <is>
          <t>C2 → C7</t>
        </is>
      </c>
      <c r="D4" s="9">
        <f>'01 점수로 등급 찾기'!I7</f>
        <v/>
      </c>
    </row>
    <row r="5">
      <c r="A5" s="7" t="n">
        <v>2</v>
      </c>
      <c r="B5" s="8" t="inlineStr">
        <is>
          <t>사번으로 이름 찾기</t>
        </is>
      </c>
      <c r="C5" s="7" t="inlineStr">
        <is>
          <t>E2 → E5</t>
        </is>
      </c>
      <c r="D5" s="9">
        <f>'02 사번으로 이름 찾기'!I7</f>
        <v/>
      </c>
    </row>
    <row r="6">
      <c r="A6" s="7" t="n">
        <v>3</v>
      </c>
      <c r="B6" s="8" t="inlineStr">
        <is>
          <t>가로 표에서 찾기</t>
        </is>
      </c>
      <c r="C6" s="7" t="inlineStr">
        <is>
          <t>D4</t>
        </is>
      </c>
      <c r="D6" s="9">
        <f>'03 가로 표에서 찾기'!I6</f>
        <v/>
      </c>
    </row>
    <row r="7">
      <c r="A7" s="7" t="n">
        <v>4</v>
      </c>
      <c r="B7" s="8" t="inlineStr">
        <is>
          <t>INDEX+MATCH</t>
        </is>
      </c>
      <c r="C7" s="7" t="inlineStr">
        <is>
          <t>B6</t>
        </is>
      </c>
      <c r="D7" s="9">
        <f>'04 INDEX+MATCH'!I6</f>
        <v/>
      </c>
    </row>
    <row r="8">
      <c r="A8" s="7" t="n">
        <v>5</v>
      </c>
      <c r="B8" s="8" t="inlineStr">
        <is>
          <t>코드로 요일</t>
        </is>
      </c>
      <c r="C8" s="7" t="inlineStr">
        <is>
          <t>B2 → B7</t>
        </is>
      </c>
      <c r="D8" s="9">
        <f>'05 코드로 요일'!I7</f>
        <v/>
      </c>
    </row>
    <row r="9">
      <c r="A9" s="7" t="n">
        <v>6</v>
      </c>
      <c r="B9" s="8" t="inlineStr">
        <is>
          <t>INDEX + MATCH로 가로세로 찾기</t>
        </is>
      </c>
      <c r="C9" s="7" t="inlineStr">
        <is>
          <t>B5</t>
        </is>
      </c>
      <c r="D9" s="9">
        <f>'06 INDEX + MATCH로 가로세로 찾기'!I6</f>
        <v/>
      </c>
    </row>
    <row r="10">
      <c r="A10" s="7" t="n">
        <v>7</v>
      </c>
      <c r="B10" s="8" t="inlineStr">
        <is>
          <t>VLOOKUP과 IFERROR 함께</t>
        </is>
      </c>
      <c r="C10" s="7" t="inlineStr">
        <is>
          <t>B6</t>
        </is>
      </c>
      <c r="D10" s="9">
        <f>'07 VLOOKUP과 IFERROR 함께'!I6</f>
        <v/>
      </c>
    </row>
    <row r="11">
      <c r="A11" s="7" t="n">
        <v>8</v>
      </c>
      <c r="B11" s="8" t="inlineStr">
        <is>
          <t>HLOOKUP 구간 조회</t>
        </is>
      </c>
      <c r="C11" s="7" t="inlineStr">
        <is>
          <t>B4</t>
        </is>
      </c>
      <c r="D11" s="9">
        <f>'08 HLOOKUP 구간 조회'!I6</f>
        <v/>
      </c>
    </row>
    <row r="12">
      <c r="A12" s="7" t="n">
        <v>9</v>
      </c>
      <c r="B12" s="8" t="inlineStr">
        <is>
          <t>CHOOSE로 번호에 맞는 값</t>
        </is>
      </c>
      <c r="C12" s="7" t="inlineStr">
        <is>
          <t>C2 → C6</t>
        </is>
      </c>
      <c r="D12" s="9">
        <f>'09 CHOOSE로 번호에 맞는 값'!I7</f>
        <v/>
      </c>
    </row>
    <row r="13">
      <c r="A13" s="7" t="n">
        <v>10</v>
      </c>
      <c r="B13" s="8" t="inlineStr">
        <is>
          <t>행·열 두 방향으로 찾기</t>
        </is>
      </c>
      <c r="C13" s="7" t="inlineStr">
        <is>
          <t>H2 → H5</t>
        </is>
      </c>
      <c r="D13" s="9">
        <f>'10 행·열 두 방향으로 찾기'!K7</f>
        <v/>
      </c>
    </row>
    <row r="15">
      <c r="B15" s="10" t="inlineStr">
        <is>
          <t>맞은 문제</t>
        </is>
      </c>
      <c r="D15" s="11">
        <f>COUNTIF(D4:D13,"*맞음*")&amp;" / 10"</f>
        <v/>
      </c>
    </row>
  </sheetData>
  <mergeCells count="1">
    <mergeCell ref="A1:D1"/>
  </mergeCells>
  <conditionalFormatting sqref="D4:D13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6" customWidth="1" min="5" max="5"/>
    <col width="11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C1" s="12" t="inlineStr">
        <is>
          <t>등급</t>
        </is>
      </c>
      <c r="D1" s="13" t="n"/>
      <c r="E1" s="12" t="inlineStr">
        <is>
          <t>[기준표]</t>
        </is>
      </c>
      <c r="F1" s="13" t="n"/>
      <c r="H1" s="14" t="inlineStr">
        <is>
          <t>1번 · 점수로 등급 찾기</t>
        </is>
      </c>
    </row>
    <row r="2" ht="22" customHeight="1">
      <c r="A2" s="7" t="inlineStr">
        <is>
          <t>홍길동</t>
        </is>
      </c>
      <c r="B2" s="7" t="n">
        <v>82</v>
      </c>
      <c r="C2" s="15" t="n">
        <v>0</v>
      </c>
      <c r="E2" s="7" t="n">
        <v>0</v>
      </c>
      <c r="F2" s="7" t="inlineStr">
        <is>
          <t>F</t>
        </is>
      </c>
      <c r="H2" s="16" t="inlineStr">
        <is>
          <t>점수[B2:B7]를 기준표[E2:F6]에서 찾아 해당 등급을 [C2:C7]에 표시하시오. (기준표는 오름차순, 근사값 조회)</t>
        </is>
      </c>
      <c r="AA2">
        <f>VLOOKUP(B2,$E$2:$F$6,2,TRUE)</f>
        <v/>
      </c>
      <c r="AB2">
        <f>AND(_xlfn.ISFORMULA(C2),IFERROR(ROUND(C2,4)=ROUND(AA2,4),EXACT(C2,AA2)))</f>
        <v/>
      </c>
    </row>
    <row r="3" ht="22" customHeight="1">
      <c r="A3" s="7" t="inlineStr">
        <is>
          <t>김하늘</t>
        </is>
      </c>
      <c r="B3" s="7" t="n">
        <v>60</v>
      </c>
      <c r="C3" s="15" t="n">
        <v>0</v>
      </c>
      <c r="E3" s="7" t="n">
        <v>60</v>
      </c>
      <c r="F3" s="7" t="inlineStr">
        <is>
          <t>D</t>
        </is>
      </c>
      <c r="AA3">
        <f>VLOOKUP(B3,$E$2:$F$6,2,TRUE)</f>
        <v/>
      </c>
      <c r="AB3">
        <f>AND(_xlfn.ISFORMULA(C3),IFERROR(ROUND(C3,4)=ROUND(AA3,4),EXACT(C3,AA3)))</f>
        <v/>
      </c>
    </row>
    <row r="4" ht="22" customHeight="1">
      <c r="A4" s="7" t="inlineStr">
        <is>
          <t>이바다</t>
        </is>
      </c>
      <c r="B4" s="7" t="n">
        <v>59</v>
      </c>
      <c r="C4" s="15" t="n">
        <v>0</v>
      </c>
      <c r="E4" s="7" t="n">
        <v>70</v>
      </c>
      <c r="F4" s="7" t="inlineStr">
        <is>
          <t>C</t>
        </is>
      </c>
      <c r="AA4">
        <f>VLOOKUP(B4,$E$2:$F$6,2,TRUE)</f>
        <v/>
      </c>
      <c r="AB4">
        <f>AND(_xlfn.ISFORMULA(C4),IFERROR(ROUND(C4,4)=ROUND(AA4,4),EXACT(C4,AA4)))</f>
        <v/>
      </c>
    </row>
    <row r="5" ht="20" customHeight="1">
      <c r="A5" s="7" t="inlineStr">
        <is>
          <t>박구름</t>
        </is>
      </c>
      <c r="B5" s="7" t="n">
        <v>90</v>
      </c>
      <c r="C5" s="15" t="n">
        <v>0</v>
      </c>
      <c r="E5" s="7" t="n">
        <v>80</v>
      </c>
      <c r="F5" s="7" t="inlineStr">
        <is>
          <t>B</t>
        </is>
      </c>
      <c r="H5" s="17" t="inlineStr">
        <is>
          <t>① C2 의 0 을 지우고 수식을 넣습니다.
② 채우기 핸들(칸 오른쪽 아래 ■)을 C7 까지 끌어내립니다.</t>
        </is>
      </c>
      <c r="AA5">
        <f>VLOOKUP(B5,$E$2:$F$6,2,TRUE)</f>
        <v/>
      </c>
      <c r="AB5">
        <f>AND(_xlfn.ISFORMULA(C5),IFERROR(ROUND(C5,4)=ROUND(AA5,4),EXACT(C5,AA5)))</f>
        <v/>
      </c>
    </row>
    <row r="6" ht="20" customHeight="1">
      <c r="A6" s="7" t="inlineStr">
        <is>
          <t>최나무</t>
        </is>
      </c>
      <c r="B6" s="7" t="n">
        <v>79</v>
      </c>
      <c r="C6" s="15" t="n">
        <v>0</v>
      </c>
      <c r="E6" s="7" t="n">
        <v>90</v>
      </c>
      <c r="F6" s="7" t="inlineStr">
        <is>
          <t>A</t>
        </is>
      </c>
      <c r="AA6">
        <f>VLOOKUP(B6,$E$2:$F$6,2,TRUE)</f>
        <v/>
      </c>
      <c r="AB6">
        <f>AND(_xlfn.ISFORMULA(C6),IFERROR(ROUND(C6,4)=ROUND(AA6,4),EXACT(C6,AA6)))</f>
        <v/>
      </c>
    </row>
    <row r="7" ht="24" customHeight="1">
      <c r="A7" s="7" t="inlineStr">
        <is>
          <t>정새벽</t>
        </is>
      </c>
      <c r="B7" s="7" t="n">
        <v>100</v>
      </c>
      <c r="C7" s="15" t="n">
        <v>0</v>
      </c>
      <c r="H7" s="12" t="inlineStr">
        <is>
          <t>채점</t>
        </is>
      </c>
      <c r="I7" s="18">
        <f>IF(NOT(_xlfn.ISFORMULA(C2)),"↖ 0 지우고 수식",IF(COUNTIF(AB2:AB7,TRUE)=6,"✔ 맞음","✘ 다시 ("&amp;COUNTIF(AB2:AB7,TRUE)&amp;" / 6칸)"))</f>
        <v/>
      </c>
      <c r="J7" s="13" t="n"/>
      <c r="K7" s="13" t="n"/>
      <c r="AA7">
        <f>VLOOKUP(B7,$E$2:$F$6,2,TRUE)</f>
        <v/>
      </c>
      <c r="AB7">
        <f>AND(_xlfn.ISFORMULA(C7),IFERROR(ROUND(C7,4)=ROUND(AA7,4),EXACT(C7,AA7)))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VLOOKUP(찾을값, $기준표$, 열번호, TRUE). 등급은 기준표의 2번째 열.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4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사번</t>
        </is>
      </c>
      <c r="B1" s="12" t="inlineStr">
        <is>
          <t>이름</t>
        </is>
      </c>
      <c r="C1" s="13" t="n"/>
      <c r="D1" s="12" t="inlineStr">
        <is>
          <t>조회사번</t>
        </is>
      </c>
      <c r="E1" s="12" t="inlineStr">
        <is>
          <t>결과</t>
        </is>
      </c>
      <c r="H1" s="14" t="inlineStr">
        <is>
          <t>2번 · 사번으로 이름 찾기</t>
        </is>
      </c>
    </row>
    <row r="2" ht="22" customHeight="1">
      <c r="A2" s="7" t="n">
        <v>101</v>
      </c>
      <c r="B2" s="7" t="inlineStr">
        <is>
          <t>김</t>
        </is>
      </c>
      <c r="D2" s="7" t="n">
        <v>103</v>
      </c>
      <c r="E2" s="15" t="n">
        <v>0</v>
      </c>
      <c r="H2" s="16" t="inlineStr">
        <is>
          <t>조회사번[D2:D5]과 정확히 일치하는 사번을 [A2:B5]에서 찾아 이름을 [E2:E5]에 표시하시오. (찾을 범위는 끌어내려도 움직이지 않아야 합니다)</t>
        </is>
      </c>
      <c r="AA2">
        <f>VLOOKUP(D2,$A$2:$B$5,2,FALSE)</f>
        <v/>
      </c>
      <c r="AB2">
        <f>AND(_xlfn.ISFORMULA(E2),IFERROR(ROUND(E2,4)=ROUND(AA2,4),EXACT(E2,AA2)))</f>
        <v/>
      </c>
    </row>
    <row r="3" ht="22" customHeight="1">
      <c r="A3" s="7" t="n">
        <v>102</v>
      </c>
      <c r="B3" s="7" t="inlineStr">
        <is>
          <t>이</t>
        </is>
      </c>
      <c r="D3" s="7" t="n">
        <v>101</v>
      </c>
      <c r="E3" s="15" t="n">
        <v>0</v>
      </c>
      <c r="AA3">
        <f>VLOOKUP(D3,$A$2:$B$5,2,FALSE)</f>
        <v/>
      </c>
      <c r="AB3">
        <f>AND(_xlfn.ISFORMULA(E3),IFERROR(ROUND(E3,4)=ROUND(AA3,4),EXACT(E3,AA3)))</f>
        <v/>
      </c>
    </row>
    <row r="4" ht="22" customHeight="1">
      <c r="A4" s="7" t="n">
        <v>103</v>
      </c>
      <c r="B4" s="7" t="inlineStr">
        <is>
          <t>박</t>
        </is>
      </c>
      <c r="D4" s="7" t="n">
        <v>104</v>
      </c>
      <c r="E4" s="15" t="n">
        <v>0</v>
      </c>
      <c r="AA4">
        <f>VLOOKUP(D4,$A$2:$B$5,2,FALSE)</f>
        <v/>
      </c>
      <c r="AB4">
        <f>AND(_xlfn.ISFORMULA(E4),IFERROR(ROUND(E4,4)=ROUND(AA4,4),EXACT(E4,AA4)))</f>
        <v/>
      </c>
    </row>
    <row r="5" ht="20" customHeight="1">
      <c r="A5" s="7" t="n">
        <v>104</v>
      </c>
      <c r="B5" s="7" t="inlineStr">
        <is>
          <t>최</t>
        </is>
      </c>
      <c r="D5" s="7" t="n">
        <v>102</v>
      </c>
      <c r="E5" s="15" t="n">
        <v>0</v>
      </c>
      <c r="H5" s="17" t="inlineStr">
        <is>
          <t>① E2 의 0 을 지우고 수식을 넣습니다.
② 채우기 핸들(칸 오른쪽 아래 ■)을 E5 까지 끌어내립니다.</t>
        </is>
      </c>
      <c r="AA5">
        <f>VLOOKUP(D5,$A$2:$B$5,2,FALSE)</f>
        <v/>
      </c>
      <c r="AB5">
        <f>AND(_xlfn.ISFORMULA(E5),IFERROR(ROUND(E5,4)=ROUND(AA5,4),EXACT(E5,AA5)))</f>
        <v/>
      </c>
    </row>
    <row r="6" ht="20" customHeight="1"/>
    <row r="7" ht="24" customHeight="1">
      <c r="H7" s="12" t="inlineStr">
        <is>
          <t>채점</t>
        </is>
      </c>
      <c r="I7" s="18">
        <f>IF(NOT(_xlfn.ISFORMULA(E2)),"↖ 0 지우고 수식",IF(COUNTIF(AB2:AB5,TRUE)=4,"✔ 맞음","✘ 다시 ("&amp;COUNTIF(AB2:AB5,TRUE)&amp;" / 4칸)"))</f>
        <v/>
      </c>
      <c r="J7" s="13" t="n"/>
      <c r="K7" s="13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정확히 일치는 네 번째 인수 FALSE(또는 0).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구분</t>
        </is>
      </c>
      <c r="B1" s="12" t="inlineStr">
        <is>
          <t>봄</t>
        </is>
      </c>
      <c r="C1" s="12" t="inlineStr">
        <is>
          <t>여름</t>
        </is>
      </c>
      <c r="D1" s="12" t="inlineStr">
        <is>
          <t>가을</t>
        </is>
      </c>
      <c r="E1" s="12" t="inlineStr">
        <is>
          <t>겨울</t>
        </is>
      </c>
      <c r="H1" s="14" t="inlineStr">
        <is>
          <t>3번 · 가로 표에서 찾기</t>
        </is>
      </c>
    </row>
    <row r="2" ht="22" customHeight="1">
      <c r="A2" s="7" t="inlineStr">
        <is>
          <t>평균기온</t>
        </is>
      </c>
      <c r="B2" s="7" t="n">
        <v>12</v>
      </c>
      <c r="C2" s="7" t="n">
        <v>26</v>
      </c>
      <c r="D2" s="7" t="n">
        <v>15</v>
      </c>
      <c r="E2" s="7" t="n">
        <v>1</v>
      </c>
      <c r="H2" s="16" t="inlineStr">
        <is>
          <t>조회 계절[B4]을 첫 행[A1:E1]에서 찾아 2행의 평균기온을 [D4]에 표시하시오.</t>
        </is>
      </c>
    </row>
    <row r="3" ht="22" customHeight="1"/>
    <row r="4" ht="22" customHeight="1">
      <c r="A4" s="7" t="inlineStr">
        <is>
          <t>조회</t>
        </is>
      </c>
      <c r="B4" s="7" t="inlineStr">
        <is>
          <t>가을</t>
        </is>
      </c>
      <c r="C4" s="7" t="inlineStr">
        <is>
          <t>기온</t>
        </is>
      </c>
      <c r="D4" s="15" t="n">
        <v>0</v>
      </c>
      <c r="AA4">
        <f>HLOOKUP(B4,$A$1:$E$2,2,FALSE)</f>
        <v/>
      </c>
      <c r="AB4">
        <f>AND(_xlfn.ISFORMULA(D4),IFERROR(ROUND(D4,4)=ROUND(AA4,4),EXACT(D4,AA4)))</f>
        <v/>
      </c>
    </row>
    <row r="5" ht="20" customHeight="1">
      <c r="H5" s="17" t="inlineStr">
        <is>
          <t>D4 의 0 을 지우고 수식을 넣습니다.</t>
        </is>
      </c>
    </row>
    <row r="6" ht="24" customHeight="1">
      <c r="H6" s="12" t="inlineStr">
        <is>
          <t>채점</t>
        </is>
      </c>
      <c r="I6" s="18">
        <f>IF(NOT(_xlfn.ISFORMULA(D4)),"↖ 0 지우고 수식",IF(COUNTIF(AB4:AB4,TRUE)=1,"✔ 맞음","✘ 다시"))</f>
        <v/>
      </c>
      <c r="J6" s="13" t="n"/>
      <c r="K6" s="13" t="n"/>
    </row>
    <row r="8" ht="18" customHeight="1">
      <c r="H8" s="20" t="inlineStr">
        <is>
          <t>💡 막히면: HLOOKUP은 가로(행) 방향으로 찾음.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가격</t>
        </is>
      </c>
      <c r="H1" s="14" t="inlineStr">
        <is>
          <t>4번 · INDEX+MATCH</t>
        </is>
      </c>
    </row>
    <row r="2" ht="22" customHeight="1">
      <c r="A2" s="7" t="inlineStr">
        <is>
          <t>노트북</t>
        </is>
      </c>
      <c r="B2" s="7" t="n">
        <v>1200</v>
      </c>
      <c r="H2" s="16" t="inlineStr">
        <is>
          <t>조회 제품[B5]의 가격을 INDEX와 MATCH로 [B6]에 구하시오.</t>
        </is>
      </c>
    </row>
    <row r="3" ht="22" customHeight="1">
      <c r="A3" s="7" t="inlineStr">
        <is>
          <t>마우스</t>
        </is>
      </c>
      <c r="B3" s="7" t="n">
        <v>20</v>
      </c>
    </row>
    <row r="4" ht="22" customHeight="1">
      <c r="A4" s="7" t="inlineStr">
        <is>
          <t>키보드</t>
        </is>
      </c>
      <c r="B4" s="7" t="n">
        <v>45</v>
      </c>
    </row>
    <row r="5" ht="20" customHeight="1">
      <c r="A5" s="7" t="inlineStr">
        <is>
          <t>조회</t>
        </is>
      </c>
      <c r="B5" s="7" t="inlineStr">
        <is>
          <t>키보드</t>
        </is>
      </c>
      <c r="H5" s="17" t="inlineStr">
        <is>
          <t>B6 의 0 을 지우고 수식을 넣습니다.</t>
        </is>
      </c>
    </row>
    <row r="6" ht="24" customHeight="1">
      <c r="A6" s="7" t="inlineStr">
        <is>
          <t>가격</t>
        </is>
      </c>
      <c r="B6" s="15" t="n">
        <v>0</v>
      </c>
      <c r="H6" s="12" t="inlineStr">
        <is>
          <t>채점</t>
        </is>
      </c>
      <c r="I6" s="18">
        <f>IF(NOT(_xlfn.ISFORMULA(B6)),"↖ 0 지우고 수식",IF(COUNTIF(AB6:AB6,TRUE)=1,"✔ 맞음","✘ 다시"))</f>
        <v/>
      </c>
      <c r="J6" s="13" t="n"/>
      <c r="K6" s="13" t="n"/>
      <c r="AA6">
        <f>INDEX(B2:B4,MATCH(B5,A2:A4,0))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MATCH로 몇 번째인지 찾고 INDEX로 그 위치 값을 가져옴.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요일</t>
        </is>
      </c>
      <c r="H1" s="14" t="inlineStr">
        <is>
          <t>5번 · 코드로 요일</t>
        </is>
      </c>
    </row>
    <row r="2" ht="22" customHeight="1">
      <c r="A2" s="7" t="n">
        <v>3</v>
      </c>
      <c r="B2" s="15" t="n">
        <v>0</v>
      </c>
      <c r="H2" s="16" t="inlineStr">
        <is>
          <t>코드[A2:A7]가 1이면 "월", 2면 "화", 3이면 "수"가 되도록 CHOOSE로 [B2:B7]에 표시하시오.</t>
        </is>
      </c>
      <c r="AA2">
        <f>CHOOSE(A2,"월","화","수")</f>
        <v/>
      </c>
      <c r="AB2">
        <f>AND(_xlfn.ISFORMULA(B2),IFERROR(ROUND(B2,4)=ROUND(AA2,4),EXACT(B2,AA2)))</f>
        <v/>
      </c>
    </row>
    <row r="3" ht="22" customHeight="1">
      <c r="A3" s="7" t="n">
        <v>1</v>
      </c>
      <c r="B3" s="15" t="n">
        <v>0</v>
      </c>
      <c r="AA3">
        <f>CHOOSE(A3,"월","화","수")</f>
        <v/>
      </c>
      <c r="AB3">
        <f>AND(_xlfn.ISFORMULA(B3),IFERROR(ROUND(B3,4)=ROUND(AA3,4),EXACT(B3,AA3)))</f>
        <v/>
      </c>
    </row>
    <row r="4" ht="22" customHeight="1">
      <c r="A4" s="7" t="n">
        <v>2</v>
      </c>
      <c r="B4" s="15" t="n">
        <v>0</v>
      </c>
      <c r="AA4">
        <f>CHOOSE(A4,"월","화","수")</f>
        <v/>
      </c>
      <c r="AB4">
        <f>AND(_xlfn.ISFORMULA(B4),IFERROR(ROUND(B4,4)=ROUND(AA4,4),EXACT(B4,AA4)))</f>
        <v/>
      </c>
    </row>
    <row r="5" ht="20" customHeight="1">
      <c r="A5" s="7" t="n">
        <v>3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CHOOSE(A5,"월","화","수")</f>
        <v/>
      </c>
      <c r="AB5">
        <f>AND(_xlfn.ISFORMULA(B5),IFERROR(ROUND(B5,4)=ROUND(AA5,4),EXACT(B5,AA5)))</f>
        <v/>
      </c>
    </row>
    <row r="6" ht="20" customHeight="1">
      <c r="A6" s="7" t="n">
        <v>2</v>
      </c>
      <c r="B6" s="15" t="n">
        <v>0</v>
      </c>
      <c r="AA6">
        <f>CHOOSE(A6,"월","화","수")</f>
        <v/>
      </c>
      <c r="AB6">
        <f>AND(_xlfn.ISFORMULA(B6),IFERROR(ROUND(B6,4)=ROUND(AA6,4),EXACT(B6,AA6)))</f>
        <v/>
      </c>
    </row>
    <row r="7" ht="24" customHeight="1">
      <c r="A7" s="7" t="n">
        <v>1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3" t="n"/>
      <c r="K7" s="13" t="n"/>
      <c r="AA7">
        <f>CHOOSE(A7,"월","화","수")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CHOOSE(번호, 값1, 값2, 값3)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H1" s="14" t="inlineStr">
        <is>
          <t>6번 · INDEX + MATCH로 가로세로 찾기</t>
        </is>
      </c>
    </row>
    <row r="2" ht="22" customHeight="1">
      <c r="A2" s="7" t="inlineStr">
        <is>
          <t>김한별</t>
        </is>
      </c>
      <c r="B2" s="7" t="n">
        <v>80</v>
      </c>
      <c r="C2" s="7" t="n">
        <v>90</v>
      </c>
      <c r="D2" s="7" t="n">
        <v>70</v>
      </c>
      <c r="H2" s="16" t="inlineStr">
        <is>
          <t>"이보람"의 수학 점수를 [B5]에 구하시오. (INDEX와 MATCH 이용)</t>
        </is>
      </c>
    </row>
    <row r="3" ht="22" customHeight="1">
      <c r="A3" s="7" t="inlineStr">
        <is>
          <t>이보람</t>
        </is>
      </c>
      <c r="B3" s="7" t="n">
        <v>95</v>
      </c>
      <c r="C3" s="7" t="n">
        <v>85</v>
      </c>
      <c r="D3" s="7" t="n">
        <v>88</v>
      </c>
    </row>
    <row r="4" ht="22" customHeight="1">
      <c r="A4" s="7" t="inlineStr">
        <is>
          <t>정하늘</t>
        </is>
      </c>
      <c r="B4" s="7" t="n">
        <v>60</v>
      </c>
      <c r="C4" s="7" t="n">
        <v>70</v>
      </c>
      <c r="D4" s="7" t="n">
        <v>75</v>
      </c>
    </row>
    <row r="5" ht="20" customHeight="1">
      <c r="B5" s="15" t="n">
        <v>0</v>
      </c>
      <c r="H5" s="17" t="inlineStr">
        <is>
          <t>B5 의 0 을 지우고 수식을 넣습니다.</t>
        </is>
      </c>
      <c r="AA5">
        <f>INDEX(B2:D4,MATCH("이보람",A2:A4,0),MATCH("수학",B1:D1,0))</f>
        <v/>
      </c>
      <c r="AB5">
        <f>AND(_xlfn.ISFORMULA(B5),IFERROR(ROUND(B5,4)=ROUND(AA5,4),EXACT(B5,AA5)))</f>
        <v/>
      </c>
    </row>
    <row r="6" ht="24" customHeight="1">
      <c r="H6" s="12" t="inlineStr">
        <is>
          <t>채점</t>
        </is>
      </c>
      <c r="I6" s="18">
        <f>IF(NOT(_xlfn.ISFORMULA(B5)),"↖ 0 지우고 수식",IF(COUNTIF(AB5:AB5,TRUE)=1,"✔ 맞음","✘ 다시"))</f>
        <v/>
      </c>
      <c r="J6" s="13" t="n"/>
      <c r="K6" s="13" t="n"/>
    </row>
    <row r="8" ht="18" customHeight="1">
      <c r="H8" s="20" t="inlineStr">
        <is>
          <t>💡 막히면: INDEX(표, 몇 번째 행, 몇 번째 열) · 행과 열을 각각 MATCH로 찾습니다.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제품명</t>
        </is>
      </c>
      <c r="H1" s="14" t="inlineStr">
        <is>
          <t>7번 · VLOOKUP과 IFERROR 함께</t>
        </is>
      </c>
    </row>
    <row r="2" ht="22" customHeight="1">
      <c r="A2" s="7" t="inlineStr">
        <is>
          <t>A01</t>
        </is>
      </c>
      <c r="B2" s="7" t="inlineStr">
        <is>
          <t>노트북</t>
        </is>
      </c>
      <c r="H2" s="16" t="inlineStr">
        <is>
          <t>코드 [A6](A09)에 맞는 제품명을 표[A2:B4]에서 찾되, 없으면 "미등록"을 [B6]에 표시하시오.</t>
        </is>
      </c>
    </row>
    <row r="3" ht="22" customHeight="1">
      <c r="A3" s="7" t="inlineStr">
        <is>
          <t>A02</t>
        </is>
      </c>
      <c r="B3" s="7" t="inlineStr">
        <is>
          <t>마우스</t>
        </is>
      </c>
    </row>
    <row r="4" ht="22" customHeight="1">
      <c r="A4" s="7" t="inlineStr">
        <is>
          <t>A03</t>
        </is>
      </c>
      <c r="B4" s="7" t="inlineStr">
        <is>
          <t>모니터</t>
        </is>
      </c>
    </row>
    <row r="5" ht="20" customHeight="1">
      <c r="H5" s="17" t="inlineStr">
        <is>
          <t>B6 의 0 을 지우고 수식을 넣습니다.</t>
        </is>
      </c>
    </row>
    <row r="6" ht="24" customHeight="1">
      <c r="A6" s="7" t="inlineStr">
        <is>
          <t>A09</t>
        </is>
      </c>
      <c r="B6" s="15" t="n">
        <v>0</v>
      </c>
      <c r="H6" s="12" t="inlineStr">
        <is>
          <t>채점</t>
        </is>
      </c>
      <c r="I6" s="18">
        <f>IF(NOT(_xlfn.ISFORMULA(B6)),"↖ 0 지우고 수식",IF(COUNTIF(AB6:AB6,TRUE)=1,"✔ 맞음","✘ 다시"))</f>
        <v/>
      </c>
      <c r="J6" s="13" t="n"/>
      <c r="K6" s="13" t="n"/>
      <c r="AA6">
        <f>IFERROR(VLOOKUP(A6,A2:B4,2,0),"미등록")</f>
        <v/>
      </c>
      <c r="AB6">
        <f>AND(_xlfn.ISFORMULA(B6),IFERROR(ROUND(B6,4)=ROUND(AA6,4),EXACT(B6,AA6)))</f>
        <v/>
      </c>
    </row>
    <row r="8" ht="18" customHeight="1">
      <c r="H8" s="20" t="inlineStr">
        <is>
          <t>💡 막히면: IFERROR(수식, 오류일 때 보여 줄 값)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1" customWidth="1" min="5" max="5"/>
    <col width="3" customWidth="1" min="6" max="6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점수</t>
        </is>
      </c>
      <c r="B1" s="12" t="n">
        <v>0</v>
      </c>
      <c r="C1" s="12" t="n">
        <v>60</v>
      </c>
      <c r="D1" s="12" t="n">
        <v>80</v>
      </c>
      <c r="E1" s="12" t="n">
        <v>90</v>
      </c>
      <c r="H1" s="14" t="inlineStr">
        <is>
          <t>8번 · HLOOKUP 구간 조회</t>
        </is>
      </c>
    </row>
    <row r="2" ht="22" customHeight="1">
      <c r="A2" s="7" t="inlineStr">
        <is>
          <t>등급</t>
        </is>
      </c>
      <c r="B2" s="7" t="inlineStr">
        <is>
          <t>F</t>
        </is>
      </c>
      <c r="C2" s="7" t="inlineStr">
        <is>
          <t>D</t>
        </is>
      </c>
      <c r="D2" s="7" t="inlineStr">
        <is>
          <t>B</t>
        </is>
      </c>
      <c r="E2" s="7" t="inlineStr">
        <is>
          <t>A</t>
        </is>
      </c>
      <c r="H2" s="16" t="inlineStr">
        <is>
          <t>점수 [A4](85)의 등급을 [B4]에 구하시오. (구간을 찾는 HLOOKUP)</t>
        </is>
      </c>
    </row>
    <row r="3" ht="22" customHeight="1"/>
    <row r="4" ht="22" customHeight="1">
      <c r="A4" s="7" t="n">
        <v>85</v>
      </c>
      <c r="B4" s="15" t="n">
        <v>0</v>
      </c>
      <c r="AA4">
        <f>HLOOKUP(A4,B1:E2,2)</f>
        <v/>
      </c>
      <c r="AB4">
        <f>AND(_xlfn.ISFORMULA(B4),IFERROR(ROUND(B4,4)=ROUND(AA4,4),EXACT(B4,AA4)))</f>
        <v/>
      </c>
    </row>
    <row r="5" ht="20" customHeight="1">
      <c r="H5" s="17" t="inlineStr">
        <is>
          <t>B4 의 0 을 지우고 수식을 넣습니다.</t>
        </is>
      </c>
    </row>
    <row r="6" ht="24" customHeight="1">
      <c r="H6" s="12" t="inlineStr">
        <is>
          <t>채점</t>
        </is>
      </c>
      <c r="I6" s="18">
        <f>IF(NOT(_xlfn.ISFORMULA(B4)),"↖ 0 지우고 수식",IF(COUNTIF(AB4:AB4,TRUE)=1,"✔ 맞음","✘ 다시"))</f>
        <v/>
      </c>
      <c r="J6" s="13" t="n"/>
      <c r="K6" s="13" t="n"/>
    </row>
    <row r="8" ht="18" customHeight="1">
      <c r="H8" s="20" t="inlineStr">
        <is>
          <t>💡 막히면: 마지막 인수를 생략하거나 TRUE로 두면 구간(근사값)으로 찾습니다.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구분코드</t>
        </is>
      </c>
      <c r="C1" s="12" t="inlineStr">
        <is>
          <t>구분</t>
        </is>
      </c>
      <c r="H1" s="14" t="inlineStr">
        <is>
          <t>9번 · CHOOSE로 번호에 맞는 값</t>
        </is>
      </c>
    </row>
    <row r="2" ht="22" customHeight="1">
      <c r="A2" s="7" t="inlineStr">
        <is>
          <t>김한별</t>
        </is>
      </c>
      <c r="B2" s="7" t="n">
        <v>2</v>
      </c>
      <c r="C2" s="15" t="n">
        <v>0</v>
      </c>
      <c r="H2" s="16" t="inlineStr">
        <is>
          <t>구분코드[B2:B6]가 1이면 "정회원", 2면 "준회원", 3이면 "임시"가 되도록 [C2:C6]에 표시하시오.</t>
        </is>
      </c>
      <c r="AA2">
        <f>CHOOSE(B2,"정회원","준회원","임시")</f>
        <v/>
      </c>
      <c r="AB2">
        <f>AND(_xlfn.ISFORMULA(C2),IFERROR(ROUND(C2,4)=ROUND(AA2,4),EXACT(C2,AA2)))</f>
        <v/>
      </c>
    </row>
    <row r="3" ht="22" customHeight="1">
      <c r="A3" s="7" t="inlineStr">
        <is>
          <t>이보람</t>
        </is>
      </c>
      <c r="B3" s="7" t="n">
        <v>1</v>
      </c>
      <c r="C3" s="15" t="n">
        <v>0</v>
      </c>
      <c r="AA3">
        <f>CHOOSE(B3,"정회원","준회원","임시")</f>
        <v/>
      </c>
      <c r="AB3">
        <f>AND(_xlfn.ISFORMULA(C3),IFERROR(ROUND(C3,4)=ROUND(AA3,4),EXACT(C3,AA3)))</f>
        <v/>
      </c>
    </row>
    <row r="4" ht="22" customHeight="1">
      <c r="A4" s="7" t="inlineStr">
        <is>
          <t>정하늘</t>
        </is>
      </c>
      <c r="B4" s="7" t="n">
        <v>3</v>
      </c>
      <c r="C4" s="15" t="n">
        <v>0</v>
      </c>
      <c r="AA4">
        <f>CHOOSE(B4,"정회원","준회원","임시")</f>
        <v/>
      </c>
      <c r="AB4">
        <f>AND(_xlfn.ISFORMULA(C4),IFERROR(ROUND(C4,4)=ROUND(AA4,4),EXACT(C4,AA4)))</f>
        <v/>
      </c>
    </row>
    <row r="5" ht="20" customHeight="1">
      <c r="A5" s="7" t="inlineStr">
        <is>
          <t>한겨울</t>
        </is>
      </c>
      <c r="B5" s="7" t="n">
        <v>2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CHOOSE(B5,"정회원","준회원","임시")</f>
        <v/>
      </c>
      <c r="AB5">
        <f>AND(_xlfn.ISFORMULA(C5),IFERROR(ROUND(C5,4)=ROUND(AA5,4),EXACT(C5,AA5)))</f>
        <v/>
      </c>
    </row>
    <row r="6" ht="20" customHeight="1">
      <c r="A6" s="7" t="inlineStr">
        <is>
          <t>서지호</t>
        </is>
      </c>
      <c r="B6" s="7" t="n">
        <v>1</v>
      </c>
      <c r="C6" s="15" t="n">
        <v>0</v>
      </c>
      <c r="AA6">
        <f>CHOOSE(B6,"정회원","준회원","임시")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3" t="n"/>
      <c r="K7" s="13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CHOOSE(번호, 1번값, 2번값, 3번값 …)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국어</t>
        </is>
      </c>
      <c r="C1" s="12" t="inlineStr">
        <is>
          <t>영어</t>
        </is>
      </c>
      <c r="D1" s="12" t="inlineStr">
        <is>
          <t>수학</t>
        </is>
      </c>
      <c r="E1" s="13" t="n"/>
      <c r="F1" s="12" t="inlineStr">
        <is>
          <t>이름</t>
        </is>
      </c>
      <c r="G1" s="12" t="inlineStr">
        <is>
          <t>과목</t>
        </is>
      </c>
      <c r="H1" s="12" t="inlineStr">
        <is>
          <t>점수</t>
        </is>
      </c>
      <c r="J1" s="14" t="inlineStr">
        <is>
          <t>10번 · 행·열 두 방향으로 찾기</t>
        </is>
      </c>
    </row>
    <row r="2" ht="22" customHeight="1">
      <c r="A2" s="7" t="inlineStr">
        <is>
          <t>김한별</t>
        </is>
      </c>
      <c r="B2" s="7" t="n">
        <v>80</v>
      </c>
      <c r="C2" s="7" t="n">
        <v>90</v>
      </c>
      <c r="D2" s="7" t="n">
        <v>70</v>
      </c>
      <c r="F2" s="7" t="inlineStr">
        <is>
          <t>이보람</t>
        </is>
      </c>
      <c r="G2" s="7" t="inlineStr">
        <is>
          <t>수학</t>
        </is>
      </c>
      <c r="H2" s="15" t="n">
        <v>0</v>
      </c>
      <c r="J2" s="16" t="inlineStr">
        <is>
          <t>이름[F2:F5]과 과목[G2:G5]으로 점수표[A1:D5]에서 점수를 찾아 [H2:H5]에 표시하시오. (INDEX와 MATCH 사용)</t>
        </is>
      </c>
      <c r="AA2">
        <f>INDEX($B$2:$D$5,MATCH(F2,$A$2:$A$5,0),MATCH(G2,$B$1:$D$1,0))</f>
        <v/>
      </c>
      <c r="AB2">
        <f>AND(_xlfn.ISFORMULA(H2),IFERROR(ROUND(H2,4)=ROUND(AA2,4),EXACT(H2,AA2)))</f>
        <v/>
      </c>
    </row>
    <row r="3" ht="22" customHeight="1">
      <c r="A3" s="7" t="inlineStr">
        <is>
          <t>이보람</t>
        </is>
      </c>
      <c r="B3" s="7" t="n">
        <v>95</v>
      </c>
      <c r="C3" s="7" t="n">
        <v>85</v>
      </c>
      <c r="D3" s="7" t="n">
        <v>88</v>
      </c>
      <c r="F3" s="7" t="inlineStr">
        <is>
          <t>김한별</t>
        </is>
      </c>
      <c r="G3" s="7" t="inlineStr">
        <is>
          <t>영어</t>
        </is>
      </c>
      <c r="H3" s="15" t="n">
        <v>0</v>
      </c>
      <c r="AA3">
        <f>INDEX($B$2:$D$5,MATCH(F3,$A$2:$A$5,0),MATCH(G3,$B$1:$D$1,0))</f>
        <v/>
      </c>
      <c r="AB3">
        <f>AND(_xlfn.ISFORMULA(H3),IFERROR(ROUND(H3,4)=ROUND(AA3,4),EXACT(H3,AA3)))</f>
        <v/>
      </c>
    </row>
    <row r="4" ht="22" customHeight="1">
      <c r="A4" s="7" t="inlineStr">
        <is>
          <t>정하늘</t>
        </is>
      </c>
      <c r="B4" s="7" t="n">
        <v>60</v>
      </c>
      <c r="C4" s="7" t="n">
        <v>70</v>
      </c>
      <c r="D4" s="7" t="n">
        <v>75</v>
      </c>
      <c r="F4" s="7" t="inlineStr">
        <is>
          <t>정하늘</t>
        </is>
      </c>
      <c r="G4" s="7" t="inlineStr">
        <is>
          <t>국어</t>
        </is>
      </c>
      <c r="H4" s="15" t="n">
        <v>0</v>
      </c>
      <c r="AA4">
        <f>INDEX($B$2:$D$5,MATCH(F4,$A$2:$A$5,0),MATCH(G4,$B$1:$D$1,0))</f>
        <v/>
      </c>
      <c r="AB4">
        <f>AND(_xlfn.ISFORMULA(H4),IFERROR(ROUND(H4,4)=ROUND(AA4,4),EXACT(H4,AA4)))</f>
        <v/>
      </c>
    </row>
    <row r="5" ht="20" customHeight="1">
      <c r="A5" s="7" t="inlineStr">
        <is>
          <t>한겨울</t>
        </is>
      </c>
      <c r="B5" s="7" t="n">
        <v>88</v>
      </c>
      <c r="C5" s="7" t="n">
        <v>92</v>
      </c>
      <c r="D5" s="7" t="n">
        <v>65</v>
      </c>
      <c r="F5" s="7" t="inlineStr">
        <is>
          <t>한겨울</t>
        </is>
      </c>
      <c r="G5" s="7" t="inlineStr">
        <is>
          <t>수학</t>
        </is>
      </c>
      <c r="H5" s="15" t="n">
        <v>0</v>
      </c>
      <c r="J5" s="17" t="inlineStr">
        <is>
          <t>① H2 의 0 을 지우고 수식을 넣습니다.
② 채우기 핸들(칸 오른쪽 아래 ■)을 H5 까지 끌어내립니다.</t>
        </is>
      </c>
      <c r="AA5">
        <f>INDEX($B$2:$D$5,MATCH(F5,$A$2:$A$5,0),MATCH(G5,$B$1:$D$1,0))</f>
        <v/>
      </c>
      <c r="AB5">
        <f>AND(_xlfn.ISFORMULA(H5),IFERROR(ROUND(H5,4)=ROUND(AA5,4),EXACT(H5,AA5)))</f>
        <v/>
      </c>
    </row>
    <row r="6" ht="20" customHeight="1"/>
    <row r="7" ht="24" customHeight="1">
      <c r="J7" s="12" t="inlineStr">
        <is>
          <t>채점</t>
        </is>
      </c>
      <c r="K7" s="18">
        <f>IF(NOT(_xlfn.ISFORMULA(H2)),"↖ 0 지우고 수식",IF(COUNTIF(AB2:AB5,TRUE)=4,"✔ 맞음","✘ 다시 ("&amp;COUNTIF(AB2:AB5,TRUE)&amp;" / 4칸)"))</f>
        <v/>
      </c>
      <c r="L7" s="13" t="n"/>
      <c r="M7" s="13" t="n"/>
    </row>
    <row r="8" ht="18" customHeight="1">
      <c r="J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J11" s="20" t="inlineStr">
        <is>
          <t>💡 막히면: INDEX(점수 영역, 몇 번째 행, 몇 번째 열). 행 번호는 이름으로, 열 번호는 과목으로 MATCH. 표 범위는 전부 고정.</t>
        </is>
      </c>
    </row>
    <row r="12" ht="18" customHeight="1"/>
  </sheetData>
  <mergeCells count="6">
    <mergeCell ref="J1:P1"/>
    <mergeCell ref="J11:P12"/>
    <mergeCell ref="J5:P6"/>
    <mergeCell ref="J8:P9"/>
    <mergeCell ref="J2:P4"/>
    <mergeCell ref="K7:M7"/>
  </mergeCells>
  <conditionalFormatting sqref="K7">
    <cfRule type="expression" priority="1" dxfId="0">
      <formula>ISNUMBER(SEARCH("맞",K7))</formula>
    </cfRule>
    <cfRule type="expression" priority="2" dxfId="1">
      <formula>ISNUMBER(SEARCH("다시",K7))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점수로 등급 찾기</t>
        </is>
      </c>
      <c r="C5" s="8" t="inlineStr">
        <is>
          <t>C2:C7</t>
        </is>
      </c>
      <c r="D5" s="22" t="inlineStr">
        <is>
          <t>=VLOOKUP(B2,$E$2:$F$6,2,TRUE)</t>
        </is>
      </c>
      <c r="E5" s="23" t="inlineStr">
        <is>
          <t>VLOOKUP(찾을값, $기준표$, 열번호, TRUE). 등급은 기준표의 2번째 열.</t>
        </is>
      </c>
    </row>
    <row r="6" ht="30" customHeight="1">
      <c r="A6" s="24" t="n">
        <v>2</v>
      </c>
      <c r="B6" s="25" t="inlineStr">
        <is>
          <t>사번으로 이름 찾기</t>
        </is>
      </c>
      <c r="C6" s="25" t="inlineStr">
        <is>
          <t>E2:E5</t>
        </is>
      </c>
      <c r="D6" s="26" t="inlineStr">
        <is>
          <t>=VLOOKUP(D2,$A$2:$B$5,2,FALSE)</t>
        </is>
      </c>
      <c r="E6" s="27" t="inlineStr">
        <is>
          <t>정확히 일치는 네 번째 인수 FALSE(또는 0).</t>
        </is>
      </c>
    </row>
    <row r="7" ht="30" customHeight="1">
      <c r="A7" s="7" t="n">
        <v>3</v>
      </c>
      <c r="B7" s="8" t="inlineStr">
        <is>
          <t>가로 표에서 찾기</t>
        </is>
      </c>
      <c r="C7" s="8" t="inlineStr">
        <is>
          <t>D4</t>
        </is>
      </c>
      <c r="D7" s="22" t="inlineStr">
        <is>
          <t>=HLOOKUP(B4,$A$1:$E$2,2,FALSE)</t>
        </is>
      </c>
      <c r="E7" s="23" t="inlineStr">
        <is>
          <t>HLOOKUP은 가로(행) 방향으로 찾음.</t>
        </is>
      </c>
    </row>
    <row r="8" ht="30" customHeight="1">
      <c r="A8" s="24" t="n">
        <v>4</v>
      </c>
      <c r="B8" s="25" t="inlineStr">
        <is>
          <t>INDEX+MATCH</t>
        </is>
      </c>
      <c r="C8" s="25" t="inlineStr">
        <is>
          <t>B6</t>
        </is>
      </c>
      <c r="D8" s="26" t="inlineStr">
        <is>
          <t>=INDEX(B2:B4,MATCH(B5,A2:A4,0))</t>
        </is>
      </c>
      <c r="E8" s="27" t="inlineStr">
        <is>
          <t>MATCH로 몇 번째인지 찾고 INDEX로 그 위치 값을 가져옴.</t>
        </is>
      </c>
    </row>
    <row r="9" ht="30" customHeight="1">
      <c r="A9" s="7" t="n">
        <v>5</v>
      </c>
      <c r="B9" s="8" t="inlineStr">
        <is>
          <t>코드로 요일</t>
        </is>
      </c>
      <c r="C9" s="8" t="inlineStr">
        <is>
          <t>B2:B7</t>
        </is>
      </c>
      <c r="D9" s="22" t="inlineStr">
        <is>
          <t>=CHOOSE(A2,"월","화","수")</t>
        </is>
      </c>
      <c r="E9" s="23" t="inlineStr">
        <is>
          <t>CHOOSE(번호, 값1, 값2, 값3)</t>
        </is>
      </c>
    </row>
    <row r="10" ht="30" customHeight="1">
      <c r="A10" s="24" t="n">
        <v>6</v>
      </c>
      <c r="B10" s="25" t="inlineStr">
        <is>
          <t>INDEX + MATCH로 가로세로 찾기</t>
        </is>
      </c>
      <c r="C10" s="25" t="inlineStr">
        <is>
          <t>B5</t>
        </is>
      </c>
      <c r="D10" s="26" t="inlineStr">
        <is>
          <t>=INDEX(B2:D4,MATCH("이보람",A2:A4,0),MATCH("수학",B1:D1,0))</t>
        </is>
      </c>
      <c r="E10" s="27" t="inlineStr">
        <is>
          <t>INDEX(표, 몇 번째 행, 몇 번째 열) · 행과 열을 각각 MATCH로 찾습니다.</t>
        </is>
      </c>
    </row>
    <row r="11" ht="30" customHeight="1">
      <c r="A11" s="7" t="n">
        <v>7</v>
      </c>
      <c r="B11" s="8" t="inlineStr">
        <is>
          <t>VLOOKUP과 IFERROR 함께</t>
        </is>
      </c>
      <c r="C11" s="8" t="inlineStr">
        <is>
          <t>B6</t>
        </is>
      </c>
      <c r="D11" s="22" t="inlineStr">
        <is>
          <t>=IFERROR(VLOOKUP(A6,A2:B4,2,0),"미등록")</t>
        </is>
      </c>
      <c r="E11" s="23" t="inlineStr">
        <is>
          <t>IFERROR(수식, 오류일 때 보여 줄 값)</t>
        </is>
      </c>
    </row>
    <row r="12" ht="30" customHeight="1">
      <c r="A12" s="24" t="n">
        <v>8</v>
      </c>
      <c r="B12" s="25" t="inlineStr">
        <is>
          <t>HLOOKUP 구간 조회</t>
        </is>
      </c>
      <c r="C12" s="25" t="inlineStr">
        <is>
          <t>B4</t>
        </is>
      </c>
      <c r="D12" s="26" t="inlineStr">
        <is>
          <t>=HLOOKUP(A4,B1:E2,2)</t>
        </is>
      </c>
      <c r="E12" s="27" t="inlineStr">
        <is>
          <t>마지막 인수를 생략하거나 TRUE로 두면 구간(근사값)으로 찾습니다.</t>
        </is>
      </c>
    </row>
    <row r="13" ht="30" customHeight="1">
      <c r="A13" s="7" t="n">
        <v>9</v>
      </c>
      <c r="B13" s="8" t="inlineStr">
        <is>
          <t>CHOOSE로 번호에 맞는 값</t>
        </is>
      </c>
      <c r="C13" s="8" t="inlineStr">
        <is>
          <t>C2:C6</t>
        </is>
      </c>
      <c r="D13" s="22" t="inlineStr">
        <is>
          <t>=CHOOSE(B2,"정회원","준회원","임시")</t>
        </is>
      </c>
      <c r="E13" s="23" t="inlineStr">
        <is>
          <t>CHOOSE(번호, 1번값, 2번값, 3번값 …)</t>
        </is>
      </c>
    </row>
    <row r="14" ht="30" customHeight="1">
      <c r="A14" s="24" t="n">
        <v>10</v>
      </c>
      <c r="B14" s="25" t="inlineStr">
        <is>
          <t>행·열 두 방향으로 찾기</t>
        </is>
      </c>
      <c r="C14" s="25" t="inlineStr">
        <is>
          <t>H2:H5</t>
        </is>
      </c>
      <c r="D14" s="26" t="inlineStr">
        <is>
          <t>=INDEX($B$2:$D$5,MATCH(F2,$A$2:$A$5,0),MATCH(G2,$B$1:$D$1,0))</t>
        </is>
      </c>
      <c r="E14" s="27" t="inlineStr">
        <is>
          <t>INDEX(점수 영역, 몇 번째 행, 몇 번째 열). 행 번호는 이름으로, 열 번호는 과목으로 MATCH. 표 범위는 전부 고정.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2026-09-28T03:23:26Z</dcterms:created>
  <dcterms:modified xmlns:dcterms="http://purl.org/dc/terms/" xmlns:xsi="http://www.w3.org/2001/XMLSchema-instance" xsi:type="dcterms:W3CDTF">2026-09-28T03:23:26Z</dcterms:modified>
</cp:coreProperties>
</file>