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보기" sheetId="1" state="visible" r:id="rId1"/>
    <sheet xmlns:r="http://schemas.openxmlformats.org/officeDocument/2006/relationships" name="채점표" sheetId="2" state="visible" r:id="rId2"/>
    <sheet xmlns:r="http://schemas.openxmlformats.org/officeDocument/2006/relationships" name="01 DSUM으로 조건부 합계" sheetId="3" state="visible" r:id="rId3"/>
    <sheet xmlns:r="http://schemas.openxmlformats.org/officeDocument/2006/relationships" name="02 DAVERAGE로 조건부 평균" sheetId="4" state="visible" r:id="rId4"/>
    <sheet xmlns:r="http://schemas.openxmlformats.org/officeDocument/2006/relationships" name="03 DCOUNTA로 조건에 맞는 개수" sheetId="5" state="visible" r:id="rId5"/>
    <sheet xmlns:r="http://schemas.openxmlformats.org/officeDocument/2006/relationships" name="04 DMAX로 조건부 최댓값" sheetId="6" state="visible" r:id="rId6"/>
    <sheet xmlns:r="http://schemas.openxmlformats.org/officeDocument/2006/relationships" name="05 조건이 숫자일 때" sheetId="7" state="visible" r:id="rId7"/>
    <sheet xmlns:r="http://schemas.openxmlformats.org/officeDocument/2006/relationships" name="정답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1F3864"/>
      <sz val="16"/>
    </font>
    <font>
      <sz val="11"/>
    </font>
    <font>
      <b val="1"/>
      <color rgb="002E5C8A"/>
      <sz val="12"/>
    </font>
    <font>
      <color rgb="00806000"/>
      <sz val="10"/>
    </font>
    <font>
      <b val="1"/>
      <color rgb="00FFFFFF"/>
    </font>
    <font>
      <i val="1"/>
      <color rgb="00A6A6A6"/>
    </font>
    <font>
      <b val="1"/>
      <color rgb="001F3864"/>
      <sz val="13"/>
    </font>
    <font>
      <b val="1"/>
      <color rgb="00C55A11"/>
      <sz val="10.5"/>
    </font>
    <font>
      <b val="1"/>
      <sz val="12"/>
    </font>
    <font>
      <color rgb="007F7F7F"/>
      <sz val="10"/>
    </font>
    <font>
      <b val="1"/>
      <color rgb="001F3864"/>
      <sz val="14"/>
    </font>
    <font>
      <b val="1"/>
      <color rgb="00FFFFFF"/>
      <sz val="11"/>
    </font>
    <font>
      <b val="1"/>
    </font>
    <font>
      <name val="Consolas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2E5C8A"/>
      </patternFill>
    </fill>
    <fill>
      <patternFill patternType="solid">
        <fgColor rgb="00FFF2CC"/>
      </patternFill>
    </fill>
    <fill>
      <patternFill patternType="solid">
        <fgColor rgb="00EEF3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center"/>
    </xf>
    <xf numFmtId="0" fontId="1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13" fillId="0" borderId="1" applyAlignment="1" pivotButton="0" quotePrefix="0" xfId="0">
      <alignment horizontal="center" vertical="center"/>
    </xf>
    <xf numFmtId="0" fontId="13" fillId="0" borderId="0" pivotButton="0" quotePrefix="0" xfId="0"/>
    <xf numFmtId="0" fontId="7" fillId="0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0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14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 ht="30" customHeight="1">
      <c r="B2" s="1" t="inlineStr">
        <is>
          <t>컴활 1급 실기 · 함수 연습 — DB함수 (5문제)</t>
        </is>
      </c>
    </row>
    <row r="3" ht="19" customHeight="1">
      <c r="B3" s="2" t="inlineStr">
        <is>
          <t>웹 「함수 연습소」의 [데이터베이스] 범위와 똑같은 문제입니다. 번호도, 표도, 칸 주소도 같습니다.</t>
        </is>
      </c>
    </row>
    <row r="4" ht="19" customHeight="1">
      <c r="B4" s="2" t="inlineStr">
        <is>
          <t>웹에서는 한 문제씩, 여기서는 진짜 엑셀로 한꺼번에 풀어 봅니다.</t>
        </is>
      </c>
    </row>
    <row r="5" ht="24" customHeight="1">
      <c r="B5" s="3" t="inlineStr">
        <is>
          <t>푸는 법</t>
        </is>
      </c>
    </row>
    <row r="6" ht="19" customHeight="1">
      <c r="B6" s="2" t="inlineStr">
        <is>
          <t>① 아래 시트 탭(01, 02 …)이 문제 하나씩입니다. 오른쪽에 문제가 적혀 있습니다.</t>
        </is>
      </c>
    </row>
    <row r="7" ht="19" customHeight="1">
      <c r="B7" s="2" t="inlineStr">
        <is>
          <t>② 노란 칸의 0 을 지우고 = 로 시작하는 수식을 넣습니다.</t>
        </is>
      </c>
    </row>
    <row r="8" ht="19" customHeight="1">
      <c r="B8" s="2" t="inlineStr">
        <is>
          <t>③ 노란 칸이 여러 줄이면 — 첫 칸에만 수식을 넣고, 채우기 핸들(칸 오른쪽 아래 ■)을 마지막 노란 칸까지 끌어내립니다.</t>
        </is>
      </c>
    </row>
    <row r="9" ht="19" customHeight="1">
      <c r="B9" s="2" t="inlineStr">
        <is>
          <t>④ 오른쪽 [채점] 칸이 ✔ 맞음 / ✘ 다시 로 스스로 바뀝니다. 수식이 달라도 결과가 같으면 맞음입니다.</t>
        </is>
      </c>
    </row>
    <row r="10" ht="19" customHeight="1">
      <c r="B10" s="2" t="inlineStr">
        <is>
          <t>⑤ [채점표] 시트에서 전체 진행 상황을, 맨 끝 [정답] 시트에서 모범답안을 볼 수 있습니다.</t>
        </is>
      </c>
    </row>
    <row r="11" ht="34" customHeight="1">
      <c r="B11" s="4" t="inlineStr">
        <is>
          <t>사람마다 결과가 달라야 정상입니다. 첫 칸은 맞았는데 아래 칸이 틀린다면, 끌어내리면서 범위나 기준 칸도 같이 내려간 것입니다 — 움직이면 안 되는 주소에 F4 로 $ 를 붙이세요.</t>
        </is>
      </c>
    </row>
    <row r="12" ht="34" customHeight="1">
      <c r="B12" s="4" t="inlineStr">
        <is>
          <t>값이 안 바뀌어 보이면 Ctrl + Alt + F9 (전체 다시 계산). 숫자를 손으로 적으면 맞음이 나오지 않습니다.</t>
        </is>
      </c>
    </row>
  </sheetData>
  <printOptions horizontalCentered="1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6" customWidth="1" min="3" max="3"/>
    <col width="18" customWidth="1" min="4" max="4"/>
  </cols>
  <sheetData>
    <row r="1" ht="26" customHeight="1">
      <c r="A1" s="5" t="inlineStr">
        <is>
          <t>채점표 — DB함수 5문제</t>
        </is>
      </c>
    </row>
    <row r="3" ht="24" customHeight="1">
      <c r="A3" s="6" t="inlineStr">
        <is>
          <t>번호</t>
        </is>
      </c>
      <c r="B3" s="6" t="inlineStr">
        <is>
          <t>문제</t>
        </is>
      </c>
      <c r="C3" s="6" t="inlineStr">
        <is>
          <t>넣을 칸</t>
        </is>
      </c>
      <c r="D3" s="6" t="inlineStr">
        <is>
          <t>채점</t>
        </is>
      </c>
    </row>
    <row r="4">
      <c r="A4" s="7" t="n">
        <v>1</v>
      </c>
      <c r="B4" s="8" t="inlineStr">
        <is>
          <t>DSUM으로 조건부 합계</t>
        </is>
      </c>
      <c r="C4" s="7" t="inlineStr">
        <is>
          <t>C6</t>
        </is>
      </c>
      <c r="D4" s="9">
        <f>'01 DSUM으로 조건부 합계'!I6</f>
        <v/>
      </c>
    </row>
    <row r="5">
      <c r="A5" s="7" t="n">
        <v>2</v>
      </c>
      <c r="B5" s="8" t="inlineStr">
        <is>
          <t>DAVERAGE로 조건부 평균</t>
        </is>
      </c>
      <c r="C5" s="7" t="inlineStr">
        <is>
          <t>C6</t>
        </is>
      </c>
      <c r="D5" s="9">
        <f>'02 DAVERAGE로 조건부 평균'!I6</f>
        <v/>
      </c>
    </row>
    <row r="6">
      <c r="A6" s="7" t="n">
        <v>3</v>
      </c>
      <c r="B6" s="8" t="inlineStr">
        <is>
          <t>DCOUNTA로 조건에 맞는 개수</t>
        </is>
      </c>
      <c r="C6" s="7" t="inlineStr">
        <is>
          <t>C6</t>
        </is>
      </c>
      <c r="D6" s="9">
        <f>'03 DCOUNTA로 조건에 맞는 개수'!I6</f>
        <v/>
      </c>
    </row>
    <row r="7">
      <c r="A7" s="7" t="n">
        <v>4</v>
      </c>
      <c r="B7" s="8" t="inlineStr">
        <is>
          <t>DMAX로 조건부 최댓값</t>
        </is>
      </c>
      <c r="C7" s="7" t="inlineStr">
        <is>
          <t>C6</t>
        </is>
      </c>
      <c r="D7" s="9">
        <f>'04 DMAX로 조건부 최댓값'!I6</f>
        <v/>
      </c>
    </row>
    <row r="8">
      <c r="A8" s="7" t="n">
        <v>5</v>
      </c>
      <c r="B8" s="8" t="inlineStr">
        <is>
          <t>조건이 숫자일 때</t>
        </is>
      </c>
      <c r="C8" s="7" t="inlineStr">
        <is>
          <t>C6</t>
        </is>
      </c>
      <c r="D8" s="9">
        <f>'05 조건이 숫자일 때'!I6</f>
        <v/>
      </c>
    </row>
    <row r="10">
      <c r="B10" s="10" t="inlineStr">
        <is>
          <t>맞은 문제</t>
        </is>
      </c>
      <c r="D10" s="11">
        <f>COUNTIF(D4:D8,"*맞음*")&amp;" / 5"</f>
        <v/>
      </c>
    </row>
  </sheetData>
  <mergeCells count="1">
    <mergeCell ref="A1:D1"/>
  </mergeCells>
  <conditionalFormatting sqref="D4:D8">
    <cfRule type="expression" priority="1" dxfId="0">
      <formula>ISNUMBER(SEARCH("맞",D4))</formula>
    </cfRule>
    <cfRule type="expression" priority="2" dxfId="1">
      <formula>ISNUMBER(SEARCH("다시",D4))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지점</t>
        </is>
      </c>
      <c r="B1" s="12" t="inlineStr">
        <is>
          <t>분기</t>
        </is>
      </c>
      <c r="C1" s="12" t="inlineStr">
        <is>
          <t>매출</t>
        </is>
      </c>
      <c r="H1" s="13" t="inlineStr">
        <is>
          <t>1번 · DSUM으로 조건부 합계</t>
        </is>
      </c>
    </row>
    <row r="2" ht="22" customHeight="1">
      <c r="A2" s="7" t="inlineStr">
        <is>
          <t>서울</t>
        </is>
      </c>
      <c r="B2" s="7" t="inlineStr">
        <is>
          <t>1분기</t>
        </is>
      </c>
      <c r="C2" s="7" t="n">
        <v>320</v>
      </c>
      <c r="H2" s="14" t="inlineStr">
        <is>
          <t>조건 범위 [A7:A8](지점=서울)을 이용해 매출 합계를 [C6]에 구하시오. (DSUM 사용)</t>
        </is>
      </c>
    </row>
    <row r="3" ht="22" customHeight="1">
      <c r="A3" s="7" t="inlineStr">
        <is>
          <t>부산</t>
        </is>
      </c>
      <c r="B3" s="7" t="inlineStr">
        <is>
          <t>1분기</t>
        </is>
      </c>
      <c r="C3" s="7" t="n">
        <v>180</v>
      </c>
    </row>
    <row r="4" ht="22" customHeight="1">
      <c r="A4" s="7" t="inlineStr">
        <is>
          <t>서울</t>
        </is>
      </c>
      <c r="B4" s="7" t="inlineStr">
        <is>
          <t>2분기</t>
        </is>
      </c>
      <c r="C4" s="7" t="n">
        <v>410</v>
      </c>
    </row>
    <row r="5" ht="20" customHeight="1">
      <c r="A5" s="7" t="inlineStr">
        <is>
          <t>부산</t>
        </is>
      </c>
      <c r="B5" s="7" t="inlineStr">
        <is>
          <t>2분기</t>
        </is>
      </c>
      <c r="C5" s="7" t="n">
        <v>250</v>
      </c>
      <c r="H5" s="15" t="inlineStr">
        <is>
          <t>C6 의 0 을 지우고 수식을 넣습니다.</t>
        </is>
      </c>
    </row>
    <row r="6" ht="24" customHeight="1">
      <c r="C6" s="16" t="n">
        <v>0</v>
      </c>
      <c r="H6" s="12" t="inlineStr">
        <is>
          <t>채점</t>
        </is>
      </c>
      <c r="I6" s="17">
        <f>IF(NOT(_xlfn.ISFORMULA(C6)),"↖ 0 지우고 수식",IF(COUNTIF(AB6:AB6,TRUE)=1,"✔ 맞음","✘ 다시"))</f>
        <v/>
      </c>
      <c r="J6" s="18" t="n"/>
      <c r="K6" s="18" t="n"/>
      <c r="AA6">
        <f>DSUM(A1:C5,3,A7:A8)</f>
        <v/>
      </c>
      <c r="AB6">
        <f>AND(_xlfn.ISFORMULA(C6),IFERROR(ROUND(C6,4)=ROUND(AA6,4),EXACT(C6,AA6)))</f>
        <v/>
      </c>
    </row>
    <row r="7">
      <c r="A7" s="7" t="inlineStr">
        <is>
          <t>지점</t>
        </is>
      </c>
    </row>
    <row r="8" ht="18" customHeight="1">
      <c r="A8" s="7" t="inlineStr">
        <is>
          <t>서울</t>
        </is>
      </c>
      <c r="H8" s="19" t="inlineStr">
        <is>
          <t>💡 막히면: DSUM(전체표, 계산할 열, 조건범위) · 열은 번호(3) 또는 "매출"로 씁니다.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반</t>
        </is>
      </c>
      <c r="C1" s="12" t="inlineStr">
        <is>
          <t>점수</t>
        </is>
      </c>
      <c r="H1" s="13" t="inlineStr">
        <is>
          <t>2번 · DAVERAGE로 조건부 평균</t>
        </is>
      </c>
    </row>
    <row r="2" ht="22" customHeight="1">
      <c r="A2" s="7" t="inlineStr">
        <is>
          <t>김한별</t>
        </is>
      </c>
      <c r="B2" s="7" t="inlineStr">
        <is>
          <t>1반</t>
        </is>
      </c>
      <c r="C2" s="7" t="n">
        <v>80</v>
      </c>
      <c r="H2" s="14" t="inlineStr">
        <is>
          <t>조건 범위 [A7:A8](반=1반)을 이용해 점수 평균을 [C6]에 구하시오. (DAVERAGE 사용)</t>
        </is>
      </c>
    </row>
    <row r="3" ht="22" customHeight="1">
      <c r="A3" s="7" t="inlineStr">
        <is>
          <t>이보람</t>
        </is>
      </c>
      <c r="B3" s="7" t="inlineStr">
        <is>
          <t>2반</t>
        </is>
      </c>
      <c r="C3" s="7" t="n">
        <v>95</v>
      </c>
    </row>
    <row r="4" ht="22" customHeight="1">
      <c r="A4" s="7" t="inlineStr">
        <is>
          <t>정하늘</t>
        </is>
      </c>
      <c r="B4" s="7" t="inlineStr">
        <is>
          <t>1반</t>
        </is>
      </c>
      <c r="C4" s="7" t="n">
        <v>60</v>
      </c>
    </row>
    <row r="5" ht="20" customHeight="1">
      <c r="A5" s="7" t="inlineStr">
        <is>
          <t>한겨울</t>
        </is>
      </c>
      <c r="B5" s="7" t="inlineStr">
        <is>
          <t>2반</t>
        </is>
      </c>
      <c r="C5" s="7" t="n">
        <v>88</v>
      </c>
      <c r="H5" s="15" t="inlineStr">
        <is>
          <t>C6 의 0 을 지우고 수식을 넣습니다.</t>
        </is>
      </c>
    </row>
    <row r="6" ht="24" customHeight="1">
      <c r="C6" s="16" t="n">
        <v>0</v>
      </c>
      <c r="H6" s="12" t="inlineStr">
        <is>
          <t>채점</t>
        </is>
      </c>
      <c r="I6" s="17">
        <f>IF(NOT(_xlfn.ISFORMULA(C6)),"↖ 0 지우고 수식",IF(COUNTIF(AB6:AB6,TRUE)=1,"✔ 맞음","✘ 다시"))</f>
        <v/>
      </c>
      <c r="J6" s="18" t="n"/>
      <c r="K6" s="18" t="n"/>
      <c r="AA6">
        <f>DAVERAGE(A1:C5,"점수",A7:A8)</f>
        <v/>
      </c>
      <c r="AB6">
        <f>AND(_xlfn.ISFORMULA(C6),IFERROR(ROUND(C6,4)=ROUND(AA6,4),EXACT(C6,AA6)))</f>
        <v/>
      </c>
    </row>
    <row r="7">
      <c r="A7" s="7" t="inlineStr">
        <is>
          <t>반</t>
        </is>
      </c>
    </row>
    <row r="8" ht="18" customHeight="1">
      <c r="A8" s="7" t="inlineStr">
        <is>
          <t>1반</t>
        </is>
      </c>
      <c r="H8" s="19" t="inlineStr">
        <is>
          <t>💡 막히면: 열 이름을 큰따옴표로 써도 되고 번호로 써도 됩니다.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부서</t>
        </is>
      </c>
      <c r="C1" s="12" t="inlineStr">
        <is>
          <t>급여</t>
        </is>
      </c>
      <c r="H1" s="13" t="inlineStr">
        <is>
          <t>3번 · DCOUNTA로 조건에 맞는 개수</t>
        </is>
      </c>
    </row>
    <row r="2" ht="22" customHeight="1">
      <c r="A2" s="7" t="inlineStr">
        <is>
          <t>김한별</t>
        </is>
      </c>
      <c r="B2" s="7" t="inlineStr">
        <is>
          <t>영업</t>
        </is>
      </c>
      <c r="C2" s="7" t="n">
        <v>320</v>
      </c>
      <c r="H2" s="14" t="inlineStr">
        <is>
          <t>조건 범위 [A7:A8](부서=영업)에 맞는 사람 수를 [C6]에 구하시오. (DCOUNTA 사용)</t>
        </is>
      </c>
    </row>
    <row r="3" ht="22" customHeight="1">
      <c r="A3" s="7" t="inlineStr">
        <is>
          <t>이보람</t>
        </is>
      </c>
      <c r="B3" s="7" t="inlineStr">
        <is>
          <t>기획</t>
        </is>
      </c>
      <c r="C3" s="7" t="n">
        <v>280</v>
      </c>
    </row>
    <row r="4" ht="22" customHeight="1">
      <c r="A4" s="7" t="inlineStr">
        <is>
          <t>정하늘</t>
        </is>
      </c>
      <c r="B4" s="7" t="inlineStr">
        <is>
          <t>영업</t>
        </is>
      </c>
      <c r="C4" s="7" t="n">
        <v>350</v>
      </c>
    </row>
    <row r="5" ht="20" customHeight="1">
      <c r="A5" s="7" t="inlineStr">
        <is>
          <t>한겨울</t>
        </is>
      </c>
      <c r="B5" s="7" t="inlineStr">
        <is>
          <t>영업</t>
        </is>
      </c>
      <c r="C5" s="7" t="n">
        <v>300</v>
      </c>
      <c r="H5" s="15" t="inlineStr">
        <is>
          <t>C6 의 0 을 지우고 수식을 넣습니다.</t>
        </is>
      </c>
    </row>
    <row r="6" ht="24" customHeight="1">
      <c r="C6" s="16" t="n">
        <v>0</v>
      </c>
      <c r="H6" s="12" t="inlineStr">
        <is>
          <t>채점</t>
        </is>
      </c>
      <c r="I6" s="17">
        <f>IF(NOT(_xlfn.ISFORMULA(C6)),"↖ 0 지우고 수식",IF(COUNTIF(AB6:AB6,TRUE)=1,"✔ 맞음","✘ 다시"))</f>
        <v/>
      </c>
      <c r="J6" s="18" t="n"/>
      <c r="K6" s="18" t="n"/>
      <c r="AA6">
        <f>DCOUNTA(A1:C5,1,A7:A8)</f>
        <v/>
      </c>
      <c r="AB6">
        <f>AND(_xlfn.ISFORMULA(C6),IFERROR(ROUND(C6,4)=ROUND(AA6,4),EXACT(C6,AA6)))</f>
        <v/>
      </c>
    </row>
    <row r="7">
      <c r="A7" s="7" t="inlineStr">
        <is>
          <t>부서</t>
        </is>
      </c>
    </row>
    <row r="8" ht="18" customHeight="1">
      <c r="A8" s="7" t="inlineStr">
        <is>
          <t>영업</t>
        </is>
      </c>
      <c r="H8" s="19" t="inlineStr">
        <is>
          <t>💡 막히면: DCOUNT는 숫자가 든 셀만, DCOUNTA는 비어 있지 않은 셀을 셉니다.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제품</t>
        </is>
      </c>
      <c r="B1" s="12" t="inlineStr">
        <is>
          <t>분류</t>
        </is>
      </c>
      <c r="C1" s="12" t="inlineStr">
        <is>
          <t>단가</t>
        </is>
      </c>
      <c r="H1" s="13" t="inlineStr">
        <is>
          <t>4번 · DMAX로 조건부 최댓값</t>
        </is>
      </c>
    </row>
    <row r="2" ht="22" customHeight="1">
      <c r="A2" s="7" t="inlineStr">
        <is>
          <t>노트북</t>
        </is>
      </c>
      <c r="B2" s="7" t="inlineStr">
        <is>
          <t>전자</t>
        </is>
      </c>
      <c r="C2" s="7" t="n">
        <v>1200</v>
      </c>
      <c r="H2" s="14" t="inlineStr">
        <is>
          <t>조건 범위 [A7:A8](분류=가구)에 맞는 가장 비싼 단가를 [C6]에 구하시오.</t>
        </is>
      </c>
    </row>
    <row r="3" ht="22" customHeight="1">
      <c r="A3" s="7" t="inlineStr">
        <is>
          <t>책상</t>
        </is>
      </c>
      <c r="B3" s="7" t="inlineStr">
        <is>
          <t>가구</t>
        </is>
      </c>
      <c r="C3" s="7" t="n">
        <v>150</v>
      </c>
    </row>
    <row r="4" ht="22" customHeight="1">
      <c r="A4" s="7" t="inlineStr">
        <is>
          <t>모니터</t>
        </is>
      </c>
      <c r="B4" s="7" t="inlineStr">
        <is>
          <t>전자</t>
        </is>
      </c>
      <c r="C4" s="7" t="n">
        <v>300</v>
      </c>
    </row>
    <row r="5" ht="20" customHeight="1">
      <c r="A5" s="7" t="inlineStr">
        <is>
          <t>의자</t>
        </is>
      </c>
      <c r="B5" s="7" t="inlineStr">
        <is>
          <t>가구</t>
        </is>
      </c>
      <c r="C5" s="7" t="n">
        <v>80</v>
      </c>
      <c r="H5" s="15" t="inlineStr">
        <is>
          <t>C6 의 0 을 지우고 수식을 넣습니다.</t>
        </is>
      </c>
    </row>
    <row r="6" ht="24" customHeight="1">
      <c r="C6" s="16" t="n">
        <v>0</v>
      </c>
      <c r="H6" s="12" t="inlineStr">
        <is>
          <t>채점</t>
        </is>
      </c>
      <c r="I6" s="17">
        <f>IF(NOT(_xlfn.ISFORMULA(C6)),"↖ 0 지우고 수식",IF(COUNTIF(AB6:AB6,TRUE)=1,"✔ 맞음","✘ 다시"))</f>
        <v/>
      </c>
      <c r="J6" s="18" t="n"/>
      <c r="K6" s="18" t="n"/>
      <c r="AA6">
        <f>DMAX(A1:C5,3,A7:A8)</f>
        <v/>
      </c>
      <c r="AB6">
        <f>AND(_xlfn.ISFORMULA(C6),IFERROR(ROUND(C6,4)=ROUND(AA6,4),EXACT(C6,AA6)))</f>
        <v/>
      </c>
    </row>
    <row r="7">
      <c r="A7" s="7" t="inlineStr">
        <is>
          <t>분류</t>
        </is>
      </c>
    </row>
    <row r="8" ht="18" customHeight="1">
      <c r="A8" s="7" t="inlineStr">
        <is>
          <t>가구</t>
        </is>
      </c>
      <c r="H8" s="19" t="inlineStr">
        <is>
          <t>💡 막히면: 가장 싼 값은 DMIN을 씁니다.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부서</t>
        </is>
      </c>
      <c r="C1" s="12" t="inlineStr">
        <is>
          <t>급여</t>
        </is>
      </c>
      <c r="H1" s="13" t="inlineStr">
        <is>
          <t>5번 · 조건이 숫자일 때</t>
        </is>
      </c>
    </row>
    <row r="2" ht="22" customHeight="1">
      <c r="A2" s="7" t="inlineStr">
        <is>
          <t>김한별</t>
        </is>
      </c>
      <c r="B2" s="7" t="inlineStr">
        <is>
          <t>영업</t>
        </is>
      </c>
      <c r="C2" s="7" t="n">
        <v>320</v>
      </c>
      <c r="H2" s="14" t="inlineStr">
        <is>
          <t>급여가 300 이상인 사람의 급여 합계를 [C6]에 구하시오. (조건 범위 [A7:A8] 이용)</t>
        </is>
      </c>
    </row>
    <row r="3" ht="22" customHeight="1">
      <c r="A3" s="7" t="inlineStr">
        <is>
          <t>이보람</t>
        </is>
      </c>
      <c r="B3" s="7" t="inlineStr">
        <is>
          <t>기획</t>
        </is>
      </c>
      <c r="C3" s="7" t="n">
        <v>280</v>
      </c>
    </row>
    <row r="4" ht="22" customHeight="1">
      <c r="A4" s="7" t="inlineStr">
        <is>
          <t>정하늘</t>
        </is>
      </c>
      <c r="B4" s="7" t="inlineStr">
        <is>
          <t>영업</t>
        </is>
      </c>
      <c r="C4" s="7" t="n">
        <v>350</v>
      </c>
    </row>
    <row r="5" ht="20" customHeight="1">
      <c r="A5" s="7" t="inlineStr">
        <is>
          <t>한겨울</t>
        </is>
      </c>
      <c r="B5" s="7" t="inlineStr">
        <is>
          <t>기획</t>
        </is>
      </c>
      <c r="C5" s="7" t="n">
        <v>300</v>
      </c>
      <c r="H5" s="15" t="inlineStr">
        <is>
          <t>C6 의 0 을 지우고 수식을 넣습니다.</t>
        </is>
      </c>
    </row>
    <row r="6" ht="24" customHeight="1">
      <c r="C6" s="16" t="n">
        <v>0</v>
      </c>
      <c r="H6" s="12" t="inlineStr">
        <is>
          <t>채점</t>
        </is>
      </c>
      <c r="I6" s="17">
        <f>IF(NOT(_xlfn.ISFORMULA(C6)),"↖ 0 지우고 수식",IF(COUNTIF(AB6:AB6,TRUE)=1,"✔ 맞음","✘ 다시"))</f>
        <v/>
      </c>
      <c r="J6" s="18" t="n"/>
      <c r="K6" s="18" t="n"/>
      <c r="AA6">
        <f>DSUM(A1:C5,"급여",A7:A8)</f>
        <v/>
      </c>
      <c r="AB6">
        <f>AND(_xlfn.ISFORMULA(C6),IFERROR(ROUND(C6,4)=ROUND(AA6,4),EXACT(C6,AA6)))</f>
        <v/>
      </c>
    </row>
    <row r="7">
      <c r="A7" s="7" t="inlineStr">
        <is>
          <t>급여</t>
        </is>
      </c>
    </row>
    <row r="8" ht="18" customHeight="1">
      <c r="A8" s="7" t="inlineStr">
        <is>
          <t>&gt;=300</t>
        </is>
      </c>
      <c r="H8" s="19" t="inlineStr">
        <is>
          <t>💡 막히면: 조건 칸에 &gt;=300 처럼 부등호를 그대로 씁니다.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52" customWidth="1" min="4" max="4"/>
    <col width="44" customWidth="1" min="5" max="5"/>
  </cols>
  <sheetData>
    <row r="1" ht="26" customHeight="1">
      <c r="A1" s="5" t="inlineStr">
        <is>
          <t>정답 — 먼저 스스로 풀어 본 뒤에 보세요</t>
        </is>
      </c>
    </row>
    <row r="2" ht="30" customHeight="1">
      <c r="A2" s="20" t="inlineStr">
        <is>
          <t>[넣을 칸] 의 첫 칸에 이 수식을 넣고, 칸이 여러 개면 끝까지 끌어내리면 됩니다.</t>
        </is>
      </c>
    </row>
    <row r="4" ht="24" customHeight="1">
      <c r="A4" s="6" t="inlineStr">
        <is>
          <t>번호</t>
        </is>
      </c>
      <c r="B4" s="6" t="inlineStr">
        <is>
          <t>문제</t>
        </is>
      </c>
      <c r="C4" s="6" t="inlineStr">
        <is>
          <t>넣을 칸</t>
        </is>
      </c>
      <c r="D4" s="6" t="inlineStr">
        <is>
          <t>모범답안 (첫 칸)</t>
        </is>
      </c>
      <c r="E4" s="6" t="inlineStr">
        <is>
          <t>힌트</t>
        </is>
      </c>
    </row>
    <row r="5" ht="30" customHeight="1">
      <c r="A5" s="7" t="n">
        <v>1</v>
      </c>
      <c r="B5" s="8" t="inlineStr">
        <is>
          <t>DSUM으로 조건부 합계</t>
        </is>
      </c>
      <c r="C5" s="8" t="inlineStr">
        <is>
          <t>C6</t>
        </is>
      </c>
      <c r="D5" s="21" t="inlineStr">
        <is>
          <t>=DSUM(A1:C5,3,A7:A8)</t>
        </is>
      </c>
      <c r="E5" s="22" t="inlineStr">
        <is>
          <t>DSUM(전체표, 계산할 열, 조건범위) · 열은 번호(3) 또는 "매출"로 씁니다.</t>
        </is>
      </c>
    </row>
    <row r="6" ht="30" customHeight="1">
      <c r="A6" s="23" t="n">
        <v>2</v>
      </c>
      <c r="B6" s="24" t="inlineStr">
        <is>
          <t>DAVERAGE로 조건부 평균</t>
        </is>
      </c>
      <c r="C6" s="24" t="inlineStr">
        <is>
          <t>C6</t>
        </is>
      </c>
      <c r="D6" s="25" t="inlineStr">
        <is>
          <t>=DAVERAGE(A1:C5,"점수",A7:A8)</t>
        </is>
      </c>
      <c r="E6" s="26" t="inlineStr">
        <is>
          <t>열 이름을 큰따옴표로 써도 되고 번호로 써도 됩니다.</t>
        </is>
      </c>
    </row>
    <row r="7" ht="30" customHeight="1">
      <c r="A7" s="7" t="n">
        <v>3</v>
      </c>
      <c r="B7" s="8" t="inlineStr">
        <is>
          <t>DCOUNTA로 조건에 맞는 개수</t>
        </is>
      </c>
      <c r="C7" s="8" t="inlineStr">
        <is>
          <t>C6</t>
        </is>
      </c>
      <c r="D7" s="21" t="inlineStr">
        <is>
          <t>=DCOUNTA(A1:C5,1,A7:A8)</t>
        </is>
      </c>
      <c r="E7" s="22" t="inlineStr">
        <is>
          <t>DCOUNT는 숫자가 든 셀만, DCOUNTA는 비어 있지 않은 셀을 셉니다.</t>
        </is>
      </c>
    </row>
    <row r="8" ht="30" customHeight="1">
      <c r="A8" s="23" t="n">
        <v>4</v>
      </c>
      <c r="B8" s="24" t="inlineStr">
        <is>
          <t>DMAX로 조건부 최댓값</t>
        </is>
      </c>
      <c r="C8" s="24" t="inlineStr">
        <is>
          <t>C6</t>
        </is>
      </c>
      <c r="D8" s="25" t="inlineStr">
        <is>
          <t>=DMAX(A1:C5,3,A7:A8)</t>
        </is>
      </c>
      <c r="E8" s="26" t="inlineStr">
        <is>
          <t>가장 싼 값은 DMIN을 씁니다.</t>
        </is>
      </c>
    </row>
    <row r="9" ht="30" customHeight="1">
      <c r="A9" s="7" t="n">
        <v>5</v>
      </c>
      <c r="B9" s="8" t="inlineStr">
        <is>
          <t>조건이 숫자일 때</t>
        </is>
      </c>
      <c r="C9" s="8" t="inlineStr">
        <is>
          <t>C6</t>
        </is>
      </c>
      <c r="D9" s="21" t="inlineStr">
        <is>
          <t>=DSUM(A1:C5,"급여",A7:A8)</t>
        </is>
      </c>
      <c r="E9" s="22" t="inlineStr">
        <is>
          <t>조건 칸에 &gt;=300 처럼 부등호를 그대로 씁니다.</t>
        </is>
      </c>
    </row>
  </sheetData>
  <mergeCells count="2">
    <mergeCell ref="A2:E2"/>
    <mergeCell ref="A1:E1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2026-09-28T03:23:28Z</dcterms:created>
  <dcterms:modified xmlns:dcterms="http://purl.org/dc/terms/" xmlns:xsi="http://www.w3.org/2001/XMLSchema-instance" xsi:type="dcterms:W3CDTF">2026-09-28T03:23:28Z</dcterms:modified>
</cp:coreProperties>
</file>