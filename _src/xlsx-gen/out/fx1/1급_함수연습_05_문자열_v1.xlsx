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읽어보기" sheetId="1" state="visible" r:id="rId1"/>
    <sheet xmlns:r="http://schemas.openxmlformats.org/officeDocument/2006/relationships" name="채점표" sheetId="2" state="visible" r:id="rId2"/>
    <sheet xmlns:r="http://schemas.openxmlformats.org/officeDocument/2006/relationships" name="01 학번에서 학년 추출" sheetId="3" state="visible" r:id="rId3"/>
    <sheet xmlns:r="http://schemas.openxmlformats.org/officeDocument/2006/relationships" name="02 이름에 호칭 붙이기" sheetId="4" state="visible" r:id="rId4"/>
    <sheet xmlns:r="http://schemas.openxmlformats.org/officeDocument/2006/relationships" name="03 뒤 2자리" sheetId="5" state="visible" r:id="rId5"/>
    <sheet xmlns:r="http://schemas.openxmlformats.org/officeDocument/2006/relationships" name="04 글자 수" sheetId="6" state="visible" r:id="rId6"/>
    <sheet xmlns:r="http://schemas.openxmlformats.org/officeDocument/2006/relationships" name="05 가운데 글자" sheetId="7" state="visible" r:id="rId7"/>
    <sheet xmlns:r="http://schemas.openxmlformats.org/officeDocument/2006/relationships" name="06 괄호로 묶기" sheetId="8" state="visible" r:id="rId8"/>
    <sheet xmlns:r="http://schemas.openxmlformats.org/officeDocument/2006/relationships" name="07 FIND로 찾은 위치까지 잘라내기" sheetId="9" state="visible" r:id="rId9"/>
    <sheet xmlns:r="http://schemas.openxmlformats.org/officeDocument/2006/relationships" name="08 @ 뒤의 도메인만" sheetId="10" state="visible" r:id="rId10"/>
    <sheet xmlns:r="http://schemas.openxmlformats.org/officeDocument/2006/relationships" name="09 REPLACE로 가운데 가리기" sheetId="11" state="visible" r:id="rId11"/>
    <sheet xmlns:r="http://schemas.openxmlformats.org/officeDocument/2006/relationships" name="10 이름과 직급을 붙여 표시" sheetId="12" state="visible" r:id="rId12"/>
    <sheet xmlns:r="http://schemas.openxmlformats.org/officeDocument/2006/relationships" name="11 문자로 된 숫자를 계산에 쓰기" sheetId="13" state="visible" r:id="rId13"/>
    <sheet xmlns:r="http://schemas.openxmlformats.org/officeDocument/2006/relationships" name="정답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color rgb="001F3864"/>
      <sz val="16"/>
    </font>
    <font>
      <sz val="11"/>
    </font>
    <font>
      <b val="1"/>
      <color rgb="002E5C8A"/>
      <sz val="12"/>
    </font>
    <font>
      <color rgb="00806000"/>
      <sz val="10"/>
    </font>
    <font>
      <b val="1"/>
      <color rgb="00FFFFFF"/>
    </font>
    <font>
      <i val="1"/>
      <color rgb="00A6A6A6"/>
    </font>
    <font>
      <b val="1"/>
      <color rgb="001F3864"/>
      <sz val="13"/>
    </font>
    <font>
      <b val="1"/>
      <color rgb="00C55A11"/>
      <sz val="10.5"/>
    </font>
    <font>
      <b val="1"/>
      <sz val="12"/>
    </font>
    <font>
      <color rgb="007F7F7F"/>
      <sz val="9.5"/>
    </font>
    <font>
      <color rgb="007F7F7F"/>
      <sz val="10"/>
    </font>
    <font>
      <b val="1"/>
      <color rgb="001F3864"/>
      <sz val="14"/>
    </font>
    <font>
      <b val="1"/>
      <color rgb="00FFFFFF"/>
      <sz val="11"/>
    </font>
    <font>
      <b val="1"/>
    </font>
    <font>
      <name val="Consolas"/>
      <b val="1"/>
      <color rgb="001F4E79"/>
      <sz val="10"/>
    </font>
  </fonts>
  <fills count="7">
    <fill>
      <patternFill/>
    </fill>
    <fill>
      <patternFill patternType="gray125"/>
    </fill>
    <fill>
      <patternFill patternType="solid">
        <fgColor rgb="00FFF8E1"/>
      </patternFill>
    </fill>
    <fill>
      <patternFill patternType="solid">
        <fgColor rgb="002E5C8A"/>
      </patternFill>
    </fill>
    <fill>
      <patternFill patternType="solid">
        <fgColor rgb="00FFF2CC"/>
      </patternFill>
    </fill>
    <fill>
      <patternFill patternType="solid">
        <fgColor rgb="00EEF3FA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12" fillId="0" borderId="0" applyAlignment="1" pivotButton="0" quotePrefix="0" xfId="0">
      <alignment horizontal="left" vertical="center"/>
    </xf>
    <xf numFmtId="0" fontId="1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14" fillId="0" borderId="1" applyAlignment="1" pivotButton="0" quotePrefix="0" xfId="0">
      <alignment horizontal="center" vertical="center"/>
    </xf>
    <xf numFmtId="0" fontId="14" fillId="0" borderId="0" pivotButton="0" quotePrefix="0" xfId="0"/>
    <xf numFmtId="0" fontId="7" fillId="0" borderId="0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 wrapText="1"/>
    </xf>
    <xf numFmtId="0" fontId="6" fillId="4" borderId="1" applyAlignment="1" pivotButton="0" quotePrefix="0" xfId="0">
      <alignment horizontal="center" vertical="center"/>
    </xf>
    <xf numFmtId="0" fontId="2" fillId="5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0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left" vertical="center" wrapText="1"/>
    </xf>
    <xf numFmtId="0" fontId="15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/>
    </xf>
    <xf numFmtId="0" fontId="15" fillId="6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</cellXfs>
  <cellStyles count="1">
    <cellStyle name="Normal" xfId="0" builtinId="0" hidden="0"/>
  </cellStyles>
  <dxfs count="2">
    <dxf>
      <font>
        <b val="1"/>
        <color rgb="00006100"/>
      </font>
      <fill>
        <patternFill patternType="solid">
          <bgColor rgb="00C6EFCE"/>
        </patternFill>
      </fill>
    </dxf>
    <dxf>
      <font>
        <b val="1"/>
        <color rgb="009C0006"/>
      </font>
      <fill>
        <patternFill patternType="solid"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B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6" customWidth="1" min="2" max="2"/>
  </cols>
  <sheetData>
    <row r="2" ht="30" customHeight="1">
      <c r="B2" s="1" t="inlineStr">
        <is>
          <t>컴활 1급 실기 · 함수 연습 — 문자열 (11문제)</t>
        </is>
      </c>
    </row>
    <row r="3" ht="19" customHeight="1">
      <c r="B3" s="2" t="inlineStr">
        <is>
          <t>웹 「함수 연습소」의 [문자열] 범위와 똑같은 문제입니다. 번호도, 표도, 칸 주소도 같습니다.</t>
        </is>
      </c>
    </row>
    <row r="4" ht="19" customHeight="1">
      <c r="B4" s="2" t="inlineStr">
        <is>
          <t>웹에서는 한 문제씩, 여기서는 진짜 엑셀로 한꺼번에 풀어 봅니다.</t>
        </is>
      </c>
    </row>
    <row r="5" ht="24" customHeight="1">
      <c r="B5" s="3" t="inlineStr">
        <is>
          <t>푸는 법</t>
        </is>
      </c>
    </row>
    <row r="6" ht="19" customHeight="1">
      <c r="B6" s="2" t="inlineStr">
        <is>
          <t>① 아래 시트 탭(01, 02 …)이 문제 하나씩입니다. 오른쪽에 문제가 적혀 있습니다.</t>
        </is>
      </c>
    </row>
    <row r="7" ht="19" customHeight="1">
      <c r="B7" s="2" t="inlineStr">
        <is>
          <t>② 노란 칸의 0 을 지우고 = 로 시작하는 수식을 넣습니다.</t>
        </is>
      </c>
    </row>
    <row r="8" ht="19" customHeight="1">
      <c r="B8" s="2" t="inlineStr">
        <is>
          <t>③ 노란 칸이 여러 줄이면 — 첫 칸에만 수식을 넣고, 채우기 핸들(칸 오른쪽 아래 ■)을 마지막 노란 칸까지 끌어내립니다.</t>
        </is>
      </c>
    </row>
    <row r="9" ht="19" customHeight="1">
      <c r="B9" s="2" t="inlineStr">
        <is>
          <t>④ 오른쪽 [채점] 칸이 ✔ 맞음 / ✘ 다시 로 스스로 바뀝니다. 수식이 달라도 결과가 같으면 맞음입니다.</t>
        </is>
      </c>
    </row>
    <row r="10" ht="19" customHeight="1">
      <c r="B10" s="2" t="inlineStr">
        <is>
          <t>⑤ [채점표] 시트에서 전체 진행 상황을, 맨 끝 [정답] 시트에서 모범답안을 볼 수 있습니다.</t>
        </is>
      </c>
    </row>
    <row r="11" ht="34" customHeight="1">
      <c r="B11" s="4" t="inlineStr">
        <is>
          <t>사람마다 결과가 달라야 정상입니다. 첫 칸은 맞았는데 아래 칸이 틀린다면, 끌어내리면서 범위나 기준 칸도 같이 내려간 것입니다 — 움직이면 안 되는 주소에 F4 로 $ 를 붙이세요.</t>
        </is>
      </c>
    </row>
    <row r="12" ht="34" customHeight="1">
      <c r="B12" s="4" t="inlineStr">
        <is>
          <t>값이 안 바뀌어 보이면 Ctrl + Alt + F9 (전체 다시 계산). 숫자를 손으로 적으면 맞음이 나오지 않습니다.</t>
        </is>
      </c>
    </row>
  </sheetData>
  <printOptions horizontalCentered="1"/>
  <pageMargins left="0.3" right="0.3" top="0.4" bottom="0.4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16" customWidth="1" min="3" max="3"/>
    <col width="18" customWidth="1" min="4" max="4"/>
  </cols>
  <sheetData>
    <row r="1" ht="26" customHeight="1">
      <c r="A1" s="5" t="inlineStr">
        <is>
          <t>채점표 — 문자열 11문제</t>
        </is>
      </c>
    </row>
    <row r="3" ht="24" customHeight="1">
      <c r="A3" s="6" t="inlineStr">
        <is>
          <t>번호</t>
        </is>
      </c>
      <c r="B3" s="6" t="inlineStr">
        <is>
          <t>문제</t>
        </is>
      </c>
      <c r="C3" s="6" t="inlineStr">
        <is>
          <t>넣을 칸</t>
        </is>
      </c>
      <c r="D3" s="6" t="inlineStr">
        <is>
          <t>채점</t>
        </is>
      </c>
    </row>
    <row r="4">
      <c r="A4" s="7" t="n">
        <v>1</v>
      </c>
      <c r="B4" s="8" t="inlineStr">
        <is>
          <t>학번에서 학년 추출</t>
        </is>
      </c>
      <c r="C4" s="7" t="inlineStr">
        <is>
          <t>B2 → B7</t>
        </is>
      </c>
      <c r="D4" s="9">
        <f>'01 학번에서 학년 추출'!I7</f>
        <v/>
      </c>
    </row>
    <row r="5">
      <c r="A5" s="7" t="n">
        <v>2</v>
      </c>
      <c r="B5" s="8" t="inlineStr">
        <is>
          <t>이름에 호칭 붙이기</t>
        </is>
      </c>
      <c r="C5" s="7" t="inlineStr">
        <is>
          <t>B2 → B7</t>
        </is>
      </c>
      <c r="D5" s="9">
        <f>'02 이름에 호칭 붙이기'!I7</f>
        <v/>
      </c>
    </row>
    <row r="6">
      <c r="A6" s="7" t="n">
        <v>3</v>
      </c>
      <c r="B6" s="8" t="inlineStr">
        <is>
          <t>뒤 2자리</t>
        </is>
      </c>
      <c r="C6" s="7" t="inlineStr">
        <is>
          <t>B2 → B7</t>
        </is>
      </c>
      <c r="D6" s="9">
        <f>'03 뒤 2자리'!I7</f>
        <v/>
      </c>
    </row>
    <row r="7">
      <c r="A7" s="7" t="n">
        <v>4</v>
      </c>
      <c r="B7" s="8" t="inlineStr">
        <is>
          <t>글자 수</t>
        </is>
      </c>
      <c r="C7" s="7" t="inlineStr">
        <is>
          <t>B2 → B7</t>
        </is>
      </c>
      <c r="D7" s="9">
        <f>'04 글자 수'!I7</f>
        <v/>
      </c>
    </row>
    <row r="8">
      <c r="A8" s="7" t="n">
        <v>5</v>
      </c>
      <c r="B8" s="8" t="inlineStr">
        <is>
          <t>가운데 글자</t>
        </is>
      </c>
      <c r="C8" s="7" t="inlineStr">
        <is>
          <t>B2 → B7</t>
        </is>
      </c>
      <c r="D8" s="9">
        <f>'05 가운데 글자'!I7</f>
        <v/>
      </c>
    </row>
    <row r="9">
      <c r="A9" s="7" t="n">
        <v>6</v>
      </c>
      <c r="B9" s="8" t="inlineStr">
        <is>
          <t>괄호로 묶기</t>
        </is>
      </c>
      <c r="C9" s="7" t="inlineStr">
        <is>
          <t>C2 → C6</t>
        </is>
      </c>
      <c r="D9" s="9">
        <f>'06 괄호로 묶기'!I7</f>
        <v/>
      </c>
    </row>
    <row r="10">
      <c r="A10" s="7" t="n">
        <v>7</v>
      </c>
      <c r="B10" s="8" t="inlineStr">
        <is>
          <t>FIND로 찾은 위치까지 잘라내기</t>
        </is>
      </c>
      <c r="C10" s="7" t="inlineStr">
        <is>
          <t>B2 → B7</t>
        </is>
      </c>
      <c r="D10" s="9">
        <f>'07 FIND로 찾은 위치까지 잘라내기'!I7</f>
        <v/>
      </c>
    </row>
    <row r="11">
      <c r="A11" s="7" t="n">
        <v>8</v>
      </c>
      <c r="B11" s="8" t="inlineStr">
        <is>
          <t>@ 뒤의 도메인만</t>
        </is>
      </c>
      <c r="C11" s="7" t="inlineStr">
        <is>
          <t>B2 → B7</t>
        </is>
      </c>
      <c r="D11" s="9">
        <f>'08 @ 뒤의 도메인만'!I7</f>
        <v/>
      </c>
    </row>
    <row r="12">
      <c r="A12" s="7" t="n">
        <v>9</v>
      </c>
      <c r="B12" s="8" t="inlineStr">
        <is>
          <t>REPLACE로 가운데 가리기</t>
        </is>
      </c>
      <c r="C12" s="7" t="inlineStr">
        <is>
          <t>B2 → B6</t>
        </is>
      </c>
      <c r="D12" s="9">
        <f>'09 REPLACE로 가운데 가리기'!I7</f>
        <v/>
      </c>
    </row>
    <row r="13">
      <c r="A13" s="7" t="n">
        <v>10</v>
      </c>
      <c r="B13" s="8" t="inlineStr">
        <is>
          <t>이름과 직급을 붙여 표시</t>
        </is>
      </c>
      <c r="C13" s="7" t="inlineStr">
        <is>
          <t>C2 → C6</t>
        </is>
      </c>
      <c r="D13" s="9">
        <f>'10 이름과 직급을 붙여 표시'!I7</f>
        <v/>
      </c>
    </row>
    <row r="14">
      <c r="A14" s="7" t="n">
        <v>11</v>
      </c>
      <c r="B14" s="8" t="inlineStr">
        <is>
          <t>문자로 된 숫자를 계산에 쓰기</t>
        </is>
      </c>
      <c r="C14" s="7" t="inlineStr">
        <is>
          <t>C2 → C6</t>
        </is>
      </c>
      <c r="D14" s="9">
        <f>'11 문자로 된 숫자를 계산에 쓰기'!I7</f>
        <v/>
      </c>
    </row>
    <row r="16">
      <c r="B16" s="10" t="inlineStr">
        <is>
          <t>맞은 문제</t>
        </is>
      </c>
      <c r="D16" s="11">
        <f>COUNTIF(D4:D14,"*맞음*")&amp;" / 11"</f>
        <v/>
      </c>
    </row>
  </sheetData>
  <mergeCells count="1">
    <mergeCell ref="A1:D1"/>
  </mergeCells>
  <conditionalFormatting sqref="D4:D14">
    <cfRule type="expression" priority="1" dxfId="0">
      <formula>ISNUMBER(SEARCH("맞",D4))</formula>
    </cfRule>
    <cfRule type="expression" priority="2" dxfId="1">
      <formula>ISNUMBER(SEARCH("다시",D4))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B1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" customWidth="1" min="3" max="3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학번</t>
        </is>
      </c>
      <c r="B1" s="12" t="inlineStr">
        <is>
          <t>입학년도</t>
        </is>
      </c>
      <c r="H1" s="13" t="inlineStr">
        <is>
          <t>1번 · 학번에서 학년 추출</t>
        </is>
      </c>
    </row>
    <row r="2" ht="22" customHeight="1">
      <c r="A2" s="7" t="inlineStr">
        <is>
          <t>24컴활03</t>
        </is>
      </c>
      <c r="B2" s="14" t="n">
        <v>0</v>
      </c>
      <c r="H2" s="15" t="inlineStr">
        <is>
          <t>학번[A2:A7]의 앞 2글자를 잘라 [B2:B7]에 표시하시오.</t>
        </is>
      </c>
      <c r="AA2">
        <f>LEFT(A2,2)</f>
        <v/>
      </c>
      <c r="AB2">
        <f>AND(_xlfn.ISFORMULA(B2),IFERROR(ROUND(B2,4)=ROUND(AA2,4),EXACT(B2,AA2)))</f>
        <v/>
      </c>
    </row>
    <row r="3" ht="22" customHeight="1">
      <c r="A3" s="7" t="inlineStr">
        <is>
          <t>23컴활11</t>
        </is>
      </c>
      <c r="B3" s="14" t="n">
        <v>0</v>
      </c>
      <c r="AA3">
        <f>LEFT(A3,2)</f>
        <v/>
      </c>
      <c r="AB3">
        <f>AND(_xlfn.ISFORMULA(B3),IFERROR(ROUND(B3,4)=ROUND(AA3,4),EXACT(B3,AA3)))</f>
        <v/>
      </c>
    </row>
    <row r="4" ht="22" customHeight="1">
      <c r="A4" s="7" t="inlineStr">
        <is>
          <t>25정보02</t>
        </is>
      </c>
      <c r="B4" s="14" t="n">
        <v>0</v>
      </c>
      <c r="AA4">
        <f>LEFT(A4,2)</f>
        <v/>
      </c>
      <c r="AB4">
        <f>AND(_xlfn.ISFORMULA(B4),IFERROR(ROUND(B4,4)=ROUND(AA4,4),EXACT(B4,AA4)))</f>
        <v/>
      </c>
    </row>
    <row r="5" ht="20" customHeight="1">
      <c r="A5" s="7" t="inlineStr">
        <is>
          <t>24전기19</t>
        </is>
      </c>
      <c r="B5" s="14" t="n">
        <v>0</v>
      </c>
      <c r="H5" s="16" t="inlineStr">
        <is>
          <t>① B2 의 0 을 지우고 수식을 넣습니다.
② 채우기 핸들(칸 오른쪽 아래 ■)을 B7 까지 끌어내립니다.</t>
        </is>
      </c>
      <c r="AA5">
        <f>LEFT(A5,2)</f>
        <v/>
      </c>
      <c r="AB5">
        <f>AND(_xlfn.ISFORMULA(B5),IFERROR(ROUND(B5,4)=ROUND(AA5,4),EXACT(B5,AA5)))</f>
        <v/>
      </c>
    </row>
    <row r="6" ht="20" customHeight="1">
      <c r="A6" s="7" t="inlineStr">
        <is>
          <t>22기계07</t>
        </is>
      </c>
      <c r="B6" s="14" t="n">
        <v>0</v>
      </c>
      <c r="AA6">
        <f>LEFT(A6,2)</f>
        <v/>
      </c>
      <c r="AB6">
        <f>AND(_xlfn.ISFORMULA(B6),IFERROR(ROUND(B6,4)=ROUND(AA6,4),EXACT(B6,AA6)))</f>
        <v/>
      </c>
    </row>
    <row r="7" ht="24" customHeight="1">
      <c r="A7" s="7" t="inlineStr">
        <is>
          <t>26전자30</t>
        </is>
      </c>
      <c r="B7" s="14" t="n">
        <v>0</v>
      </c>
      <c r="H7" s="12" t="inlineStr">
        <is>
          <t>채점</t>
        </is>
      </c>
      <c r="I7" s="17">
        <f>IF(NOT(_xlfn.ISFORMULA(B2)),"↖ 0 지우고 수식",IF(COUNTIF(AB2:AB7,TRUE)=6,"✔ 맞음","✘ 다시 ("&amp;COUNTIF(AB2:AB7,TRUE)&amp;" / 6칸)"))</f>
        <v/>
      </c>
      <c r="J7" s="18" t="n"/>
      <c r="K7" s="18" t="n"/>
      <c r="AA7">
        <f>LEFT(A7,2)</f>
        <v/>
      </c>
      <c r="AB7">
        <f>AND(_xlfn.ISFORMULA(B7),IFERROR(ROUND(B7,4)=ROUND(AA7,4),EXACT(B7,AA7)))</f>
        <v/>
      </c>
    </row>
    <row r="8" ht="18" customHeight="1">
      <c r="H8" s="19" t="inlineStr">
        <is>
          <t>칸마다 따로 채점합니다. 첫 칸만 맞고 아래가 틀리면 — 끌어내릴 때 움직이면 안 되는 주소에 $ 가 있는지 보세요.</t>
        </is>
      </c>
    </row>
    <row r="9" ht="18" customHeight="1"/>
    <row r="11" ht="18" customHeight="1">
      <c r="H11" s="20" t="inlineStr">
        <is>
          <t>💡 막히면: LEFT(문자열, 글자수)</t>
        </is>
      </c>
    </row>
    <row r="12" ht="18" customHeight="1"/>
  </sheetData>
  <mergeCells count="6">
    <mergeCell ref="H11:N12"/>
    <mergeCell ref="H5:N6"/>
    <mergeCell ref="H8:N9"/>
    <mergeCell ref="H2:N4"/>
    <mergeCell ref="H1:N1"/>
    <mergeCell ref="I7:K7"/>
  </mergeCells>
  <conditionalFormatting sqref="I7">
    <cfRule type="expression" priority="1" dxfId="0">
      <formula>ISNUMBER(SEARCH("맞",I7))</formula>
    </cfRule>
    <cfRule type="expression" priority="2" dxfId="1">
      <formula>ISNUMBER(SEARCH("다시",I7))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B1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" customWidth="1" min="3" max="3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이름</t>
        </is>
      </c>
      <c r="B1" s="12" t="inlineStr">
        <is>
          <t>표시</t>
        </is>
      </c>
      <c r="H1" s="13" t="inlineStr">
        <is>
          <t>2번 · 이름에 호칭 붙이기</t>
        </is>
      </c>
    </row>
    <row r="2" ht="22" customHeight="1">
      <c r="A2" s="7" t="inlineStr">
        <is>
          <t>김영수</t>
        </is>
      </c>
      <c r="B2" s="14" t="n">
        <v>0</v>
      </c>
      <c r="H2" s="15" t="inlineStr">
        <is>
          <t>이름[A2:A7] 뒤에 "님"을 붙여 [B2:B7]에 표시하시오. (예: 김영수님)</t>
        </is>
      </c>
      <c r="AA2">
        <f>A2&amp;"님"</f>
        <v/>
      </c>
      <c r="AB2">
        <f>AND(_xlfn.ISFORMULA(B2),IFERROR(ROUND(B2,4)=ROUND(AA2,4),EXACT(B2,AA2)))</f>
        <v/>
      </c>
    </row>
    <row r="3" ht="22" customHeight="1">
      <c r="A3" s="7" t="inlineStr">
        <is>
          <t>이바다</t>
        </is>
      </c>
      <c r="B3" s="14" t="n">
        <v>0</v>
      </c>
      <c r="AA3">
        <f>A3&amp;"님"</f>
        <v/>
      </c>
      <c r="AB3">
        <f>AND(_xlfn.ISFORMULA(B3),IFERROR(ROUND(B3,4)=ROUND(AA3,4),EXACT(B3,AA3)))</f>
        <v/>
      </c>
    </row>
    <row r="4" ht="22" customHeight="1">
      <c r="A4" s="7" t="inlineStr">
        <is>
          <t>박구름</t>
        </is>
      </c>
      <c r="B4" s="14" t="n">
        <v>0</v>
      </c>
      <c r="AA4">
        <f>A4&amp;"님"</f>
        <v/>
      </c>
      <c r="AB4">
        <f>AND(_xlfn.ISFORMULA(B4),IFERROR(ROUND(B4,4)=ROUND(AA4,4),EXACT(B4,AA4)))</f>
        <v/>
      </c>
    </row>
    <row r="5" ht="20" customHeight="1">
      <c r="A5" s="7" t="inlineStr">
        <is>
          <t>최나무</t>
        </is>
      </c>
      <c r="B5" s="14" t="n">
        <v>0</v>
      </c>
      <c r="H5" s="16" t="inlineStr">
        <is>
          <t>① B2 의 0 을 지우고 수식을 넣습니다.
② 채우기 핸들(칸 오른쪽 아래 ■)을 B7 까지 끌어내립니다.</t>
        </is>
      </c>
      <c r="AA5">
        <f>A5&amp;"님"</f>
        <v/>
      </c>
      <c r="AB5">
        <f>AND(_xlfn.ISFORMULA(B5),IFERROR(ROUND(B5,4)=ROUND(AA5,4),EXACT(B5,AA5)))</f>
        <v/>
      </c>
    </row>
    <row r="6" ht="20" customHeight="1">
      <c r="A6" s="7" t="inlineStr">
        <is>
          <t>정새벽</t>
        </is>
      </c>
      <c r="B6" s="14" t="n">
        <v>0</v>
      </c>
      <c r="AA6">
        <f>A6&amp;"님"</f>
        <v/>
      </c>
      <c r="AB6">
        <f>AND(_xlfn.ISFORMULA(B6),IFERROR(ROUND(B6,4)=ROUND(AA6,4),EXACT(B6,AA6)))</f>
        <v/>
      </c>
    </row>
    <row r="7" ht="24" customHeight="1">
      <c r="A7" s="7" t="inlineStr">
        <is>
          <t>한가람</t>
        </is>
      </c>
      <c r="B7" s="14" t="n">
        <v>0</v>
      </c>
      <c r="H7" s="12" t="inlineStr">
        <is>
          <t>채점</t>
        </is>
      </c>
      <c r="I7" s="17">
        <f>IF(NOT(_xlfn.ISFORMULA(B2)),"↖ 0 지우고 수식",IF(COUNTIF(AB2:AB7,TRUE)=6,"✔ 맞음","✘ 다시 ("&amp;COUNTIF(AB2:AB7,TRUE)&amp;" / 6칸)"))</f>
        <v/>
      </c>
      <c r="J7" s="18" t="n"/>
      <c r="K7" s="18" t="n"/>
      <c r="AA7">
        <f>A7&amp;"님"</f>
        <v/>
      </c>
      <c r="AB7">
        <f>AND(_xlfn.ISFORMULA(B7),IFERROR(ROUND(B7,4)=ROUND(AA7,4),EXACT(B7,AA7)))</f>
        <v/>
      </c>
    </row>
    <row r="8" ht="18" customHeight="1">
      <c r="H8" s="19" t="inlineStr">
        <is>
          <t>칸마다 따로 채점합니다. 첫 칸만 맞고 아래가 틀리면 — 끌어내릴 때 움직이면 안 되는 주소에 $ 가 있는지 보세요.</t>
        </is>
      </c>
    </row>
    <row r="9" ht="18" customHeight="1"/>
    <row r="11" ht="18" customHeight="1">
      <c r="H11" s="20" t="inlineStr">
        <is>
          <t>💡 막히면: 문자열 결합은 &amp; 연산자. A2&amp;"님"</t>
        </is>
      </c>
    </row>
    <row r="12" ht="18" customHeight="1"/>
  </sheetData>
  <mergeCells count="6">
    <mergeCell ref="H11:N12"/>
    <mergeCell ref="H5:N6"/>
    <mergeCell ref="H8:N9"/>
    <mergeCell ref="H2:N4"/>
    <mergeCell ref="H1:N1"/>
    <mergeCell ref="I7:K7"/>
  </mergeCells>
  <conditionalFormatting sqref="I7">
    <cfRule type="expression" priority="1" dxfId="0">
      <formula>ISNUMBER(SEARCH("맞",I7))</formula>
    </cfRule>
    <cfRule type="expression" priority="2" dxfId="1">
      <formula>ISNUMBER(SEARCH("다시",I7))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B1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" customWidth="1" min="3" max="3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코드</t>
        </is>
      </c>
      <c r="B1" s="12" t="inlineStr">
        <is>
          <t>분류</t>
        </is>
      </c>
      <c r="H1" s="13" t="inlineStr">
        <is>
          <t>3번 · 뒤 2자리</t>
        </is>
      </c>
    </row>
    <row r="2" ht="22" customHeight="1">
      <c r="A2" s="7" t="inlineStr">
        <is>
          <t>A2024</t>
        </is>
      </c>
      <c r="B2" s="14" t="n">
        <v>0</v>
      </c>
      <c r="H2" s="15" t="inlineStr">
        <is>
          <t>코드[A2:A7]의 오른쪽 2글자를 [B2:B7]에 표시하시오.</t>
        </is>
      </c>
      <c r="AA2">
        <f>RIGHT(A2,2)</f>
        <v/>
      </c>
      <c r="AB2">
        <f>AND(_xlfn.ISFORMULA(B2),IFERROR(ROUND(B2,4)=ROUND(AA2,4),EXACT(B2,AA2)))</f>
        <v/>
      </c>
    </row>
    <row r="3" ht="22" customHeight="1">
      <c r="A3" s="7" t="inlineStr">
        <is>
          <t>B1999</t>
        </is>
      </c>
      <c r="B3" s="14" t="n">
        <v>0</v>
      </c>
      <c r="AA3">
        <f>RIGHT(A3,2)</f>
        <v/>
      </c>
      <c r="AB3">
        <f>AND(_xlfn.ISFORMULA(B3),IFERROR(ROUND(B3,4)=ROUND(AA3,4),EXACT(B3,AA3)))</f>
        <v/>
      </c>
    </row>
    <row r="4" ht="22" customHeight="1">
      <c r="A4" s="7" t="inlineStr">
        <is>
          <t>C2025</t>
        </is>
      </c>
      <c r="B4" s="14" t="n">
        <v>0</v>
      </c>
      <c r="AA4">
        <f>RIGHT(A4,2)</f>
        <v/>
      </c>
      <c r="AB4">
        <f>AND(_xlfn.ISFORMULA(B4),IFERROR(ROUND(B4,4)=ROUND(AA4,4),EXACT(B4,AA4)))</f>
        <v/>
      </c>
    </row>
    <row r="5" ht="20" customHeight="1">
      <c r="A5" s="7" t="inlineStr">
        <is>
          <t>A2107</t>
        </is>
      </c>
      <c r="B5" s="14" t="n">
        <v>0</v>
      </c>
      <c r="H5" s="16" t="inlineStr">
        <is>
          <t>① B2 의 0 을 지우고 수식을 넣습니다.
② 채우기 핸들(칸 오른쪽 아래 ■)을 B7 까지 끌어내립니다.</t>
        </is>
      </c>
      <c r="AA5">
        <f>RIGHT(A5,2)</f>
        <v/>
      </c>
      <c r="AB5">
        <f>AND(_xlfn.ISFORMULA(B5),IFERROR(ROUND(B5,4)=ROUND(AA5,4),EXACT(B5,AA5)))</f>
        <v/>
      </c>
    </row>
    <row r="6" ht="20" customHeight="1">
      <c r="A6" s="7" t="inlineStr">
        <is>
          <t>D1488</t>
        </is>
      </c>
      <c r="B6" s="14" t="n">
        <v>0</v>
      </c>
      <c r="AA6">
        <f>RIGHT(A6,2)</f>
        <v/>
      </c>
      <c r="AB6">
        <f>AND(_xlfn.ISFORMULA(B6),IFERROR(ROUND(B6,4)=ROUND(AA6,4),EXACT(B6,AA6)))</f>
        <v/>
      </c>
    </row>
    <row r="7" ht="24" customHeight="1">
      <c r="A7" s="7" t="inlineStr">
        <is>
          <t>E2000</t>
        </is>
      </c>
      <c r="B7" s="14" t="n">
        <v>0</v>
      </c>
      <c r="H7" s="12" t="inlineStr">
        <is>
          <t>채점</t>
        </is>
      </c>
      <c r="I7" s="17">
        <f>IF(NOT(_xlfn.ISFORMULA(B2)),"↖ 0 지우고 수식",IF(COUNTIF(AB2:AB7,TRUE)=6,"✔ 맞음","✘ 다시 ("&amp;COUNTIF(AB2:AB7,TRUE)&amp;" / 6칸)"))</f>
        <v/>
      </c>
      <c r="J7" s="18" t="n"/>
      <c r="K7" s="18" t="n"/>
      <c r="AA7">
        <f>RIGHT(A7,2)</f>
        <v/>
      </c>
      <c r="AB7">
        <f>AND(_xlfn.ISFORMULA(B7),IFERROR(ROUND(B7,4)=ROUND(AA7,4),EXACT(B7,AA7)))</f>
        <v/>
      </c>
    </row>
    <row r="8" ht="18" customHeight="1">
      <c r="H8" s="19" t="inlineStr">
        <is>
          <t>칸마다 따로 채점합니다. 첫 칸만 맞고 아래가 틀리면 — 끌어내릴 때 움직이면 안 되는 주소에 $ 가 있는지 보세요.</t>
        </is>
      </c>
    </row>
    <row r="9" ht="18" customHeight="1"/>
    <row r="11" ht="18" customHeight="1">
      <c r="H11" s="20" t="inlineStr">
        <is>
          <t>💡 막히면: RIGHT(문자열, 글자수)</t>
        </is>
      </c>
    </row>
    <row r="12" ht="18" customHeight="1"/>
  </sheetData>
  <mergeCells count="6">
    <mergeCell ref="H11:N12"/>
    <mergeCell ref="H5:N6"/>
    <mergeCell ref="H8:N9"/>
    <mergeCell ref="H2:N4"/>
    <mergeCell ref="H1:N1"/>
    <mergeCell ref="I7:K7"/>
  </mergeCells>
  <conditionalFormatting sqref="I7">
    <cfRule type="expression" priority="1" dxfId="0">
      <formula>ISNUMBER(SEARCH("맞",I7))</formula>
    </cfRule>
    <cfRule type="expression" priority="2" dxfId="1">
      <formula>ISNUMBER(SEARCH("다시",I7))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B1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" customWidth="1" min="3" max="3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단어</t>
        </is>
      </c>
      <c r="B1" s="12" t="inlineStr">
        <is>
          <t>길이</t>
        </is>
      </c>
      <c r="H1" s="13" t="inlineStr">
        <is>
          <t>4번 · 글자 수</t>
        </is>
      </c>
    </row>
    <row r="2" ht="22" customHeight="1">
      <c r="A2" s="7" t="inlineStr">
        <is>
          <t>컴퓨터활용</t>
        </is>
      </c>
      <c r="B2" s="14" t="n">
        <v>0</v>
      </c>
      <c r="H2" s="15" t="inlineStr">
        <is>
          <t>단어[A2:A7]의 글자 수를 [B2:B7]에 구하시오.</t>
        </is>
      </c>
      <c r="AA2">
        <f>LEN(A2)</f>
        <v/>
      </c>
      <c r="AB2">
        <f>AND(_xlfn.ISFORMULA(B2),IFERROR(ROUND(B2,4)=ROUND(AA2,4),EXACT(B2,AA2)))</f>
        <v/>
      </c>
    </row>
    <row r="3" ht="22" customHeight="1">
      <c r="A3" s="7" t="inlineStr">
        <is>
          <t>엑셀</t>
        </is>
      </c>
      <c r="B3" s="14" t="n">
        <v>0</v>
      </c>
      <c r="AA3">
        <f>LEN(A3)</f>
        <v/>
      </c>
      <c r="AB3">
        <f>AND(_xlfn.ISFORMULA(B3),IFERROR(ROUND(B3,4)=ROUND(AA3,4),EXACT(B3,AA3)))</f>
        <v/>
      </c>
    </row>
    <row r="4" ht="22" customHeight="1">
      <c r="A4" s="7" t="inlineStr">
        <is>
          <t>스마트 팩토리</t>
        </is>
      </c>
      <c r="B4" s="14" t="n">
        <v>0</v>
      </c>
      <c r="AA4">
        <f>LEN(A4)</f>
        <v/>
      </c>
      <c r="AB4">
        <f>AND(_xlfn.ISFORMULA(B4),IFERROR(ROUND(B4,4)=ROUND(AA4,4),EXACT(B4,AA4)))</f>
        <v/>
      </c>
    </row>
    <row r="5" ht="20" customHeight="1">
      <c r="A5" s="7" t="inlineStr">
        <is>
          <t>PLC</t>
        </is>
      </c>
      <c r="B5" s="14" t="n">
        <v>0</v>
      </c>
      <c r="H5" s="16" t="inlineStr">
        <is>
          <t>① B2 의 0 을 지우고 수식을 넣습니다.
② 채우기 핸들(칸 오른쪽 아래 ■)을 B7 까지 끌어내립니다.</t>
        </is>
      </c>
      <c r="AA5">
        <f>LEN(A5)</f>
        <v/>
      </c>
      <c r="AB5">
        <f>AND(_xlfn.ISFORMULA(B5),IFERROR(ROUND(B5,4)=ROUND(AA5,4),EXACT(B5,AA5)))</f>
        <v/>
      </c>
    </row>
    <row r="6" ht="20" customHeight="1">
      <c r="A6" s="7" t="inlineStr">
        <is>
          <t>자동화 설비</t>
        </is>
      </c>
      <c r="B6" s="14" t="n">
        <v>0</v>
      </c>
      <c r="AA6">
        <f>LEN(A6)</f>
        <v/>
      </c>
      <c r="AB6">
        <f>AND(_xlfn.ISFORMULA(B6),IFERROR(ROUND(B6,4)=ROUND(AA6,4),EXACT(B6,AA6)))</f>
        <v/>
      </c>
    </row>
    <row r="7" ht="24" customHeight="1">
      <c r="A7" s="7" t="inlineStr">
        <is>
          <t>A</t>
        </is>
      </c>
      <c r="B7" s="14" t="n">
        <v>0</v>
      </c>
      <c r="H7" s="12" t="inlineStr">
        <is>
          <t>채점</t>
        </is>
      </c>
      <c r="I7" s="17">
        <f>IF(NOT(_xlfn.ISFORMULA(B2)),"↖ 0 지우고 수식",IF(COUNTIF(AB2:AB7,TRUE)=6,"✔ 맞음","✘ 다시 ("&amp;COUNTIF(AB2:AB7,TRUE)&amp;" / 6칸)"))</f>
        <v/>
      </c>
      <c r="J7" s="18" t="n"/>
      <c r="K7" s="18" t="n"/>
      <c r="AA7">
        <f>LEN(A7)</f>
        <v/>
      </c>
      <c r="AB7">
        <f>AND(_xlfn.ISFORMULA(B7),IFERROR(ROUND(B7,4)=ROUND(AA7,4),EXACT(B7,AA7)))</f>
        <v/>
      </c>
    </row>
    <row r="8" ht="18" customHeight="1">
      <c r="H8" s="19" t="inlineStr">
        <is>
          <t>칸마다 따로 채점합니다. 첫 칸만 맞고 아래가 틀리면 — 끌어내릴 때 움직이면 안 되는 주소에 $ 가 있는지 보세요.</t>
        </is>
      </c>
    </row>
    <row r="9" ht="18" customHeight="1"/>
    <row r="11" ht="18" customHeight="1">
      <c r="H11" s="20" t="inlineStr">
        <is>
          <t>💡 막히면: LEN(문자열)</t>
        </is>
      </c>
    </row>
    <row r="12" ht="18" customHeight="1"/>
  </sheetData>
  <mergeCells count="6">
    <mergeCell ref="H11:N12"/>
    <mergeCell ref="H5:N6"/>
    <mergeCell ref="H8:N9"/>
    <mergeCell ref="H2:N4"/>
    <mergeCell ref="H1:N1"/>
    <mergeCell ref="I7:K7"/>
  </mergeCells>
  <conditionalFormatting sqref="I7">
    <cfRule type="expression" priority="1" dxfId="0">
      <formula>ISNUMBER(SEARCH("맞",I7))</formula>
    </cfRule>
    <cfRule type="expression" priority="2" dxfId="1">
      <formula>ISNUMBER(SEARCH("다시",I7))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B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" customWidth="1" min="3" max="3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주민앞</t>
        </is>
      </c>
      <c r="B1" s="12" t="inlineStr">
        <is>
          <t>월</t>
        </is>
      </c>
      <c r="H1" s="13" t="inlineStr">
        <is>
          <t>5번 · 가운데 글자</t>
        </is>
      </c>
    </row>
    <row r="2" ht="22" customHeight="1">
      <c r="A2" s="7" t="inlineStr">
        <is>
          <t>990312</t>
        </is>
      </c>
      <c r="B2" s="14" t="n">
        <v>0</v>
      </c>
      <c r="H2" s="15" t="inlineStr">
        <is>
          <t>생년월일 앞 6자리[A2:A7]에서 3~4번째 두 글자(월)를 [B2:B7]에 표시하시오.</t>
        </is>
      </c>
      <c r="AA2">
        <f>MID(A2,3,2)</f>
        <v/>
      </c>
      <c r="AB2">
        <f>AND(_xlfn.ISFORMULA(B2),IFERROR(ROUND(B2,4)=ROUND(AA2,4),EXACT(B2,AA2)))</f>
        <v/>
      </c>
    </row>
    <row r="3" ht="22" customHeight="1">
      <c r="A3" s="7" t="inlineStr">
        <is>
          <t>051109</t>
        </is>
      </c>
      <c r="B3" s="14" t="n">
        <v>0</v>
      </c>
      <c r="AA3">
        <f>MID(A3,3,2)</f>
        <v/>
      </c>
      <c r="AB3">
        <f>AND(_xlfn.ISFORMULA(B3),IFERROR(ROUND(B3,4)=ROUND(AA3,4),EXACT(B3,AA3)))</f>
        <v/>
      </c>
    </row>
    <row r="4" ht="22" customHeight="1">
      <c r="A4" s="7" t="inlineStr">
        <is>
          <t>001231</t>
        </is>
      </c>
      <c r="B4" s="14" t="n">
        <v>0</v>
      </c>
      <c r="AA4">
        <f>MID(A4,3,2)</f>
        <v/>
      </c>
      <c r="AB4">
        <f>AND(_xlfn.ISFORMULA(B4),IFERROR(ROUND(B4,4)=ROUND(AA4,4),EXACT(B4,AA4)))</f>
        <v/>
      </c>
    </row>
    <row r="5" ht="20" customHeight="1">
      <c r="A5" s="7" t="inlineStr">
        <is>
          <t>970701</t>
        </is>
      </c>
      <c r="B5" s="14" t="n">
        <v>0</v>
      </c>
      <c r="H5" s="16" t="inlineStr">
        <is>
          <t>① B2 의 0 을 지우고 수식을 넣습니다.
② 채우기 핸들(칸 오른쪽 아래 ■)을 B7 까지 끌어내립니다.</t>
        </is>
      </c>
      <c r="AA5">
        <f>MID(A5,3,2)</f>
        <v/>
      </c>
      <c r="AB5">
        <f>AND(_xlfn.ISFORMULA(B5),IFERROR(ROUND(B5,4)=ROUND(AA5,4),EXACT(B5,AA5)))</f>
        <v/>
      </c>
    </row>
    <row r="6" ht="20" customHeight="1">
      <c r="A6" s="7" t="inlineStr">
        <is>
          <t>080228</t>
        </is>
      </c>
      <c r="B6" s="14" t="n">
        <v>0</v>
      </c>
      <c r="AA6">
        <f>MID(A6,3,2)</f>
        <v/>
      </c>
      <c r="AB6">
        <f>AND(_xlfn.ISFORMULA(B6),IFERROR(ROUND(B6,4)=ROUND(AA6,4),EXACT(B6,AA6)))</f>
        <v/>
      </c>
    </row>
    <row r="7" ht="24" customHeight="1">
      <c r="A7" s="7" t="inlineStr">
        <is>
          <t>100515</t>
        </is>
      </c>
      <c r="B7" s="14" t="n">
        <v>0</v>
      </c>
      <c r="H7" s="12" t="inlineStr">
        <is>
          <t>채점</t>
        </is>
      </c>
      <c r="I7" s="17">
        <f>IF(NOT(_xlfn.ISFORMULA(B2)),"↖ 0 지우고 수식",IF(COUNTIF(AB2:AB7,TRUE)=6,"✔ 맞음","✘ 다시 ("&amp;COUNTIF(AB2:AB7,TRUE)&amp;" / 6칸)"))</f>
        <v/>
      </c>
      <c r="J7" s="18" t="n"/>
      <c r="K7" s="18" t="n"/>
      <c r="AA7">
        <f>MID(A7,3,2)</f>
        <v/>
      </c>
      <c r="AB7">
        <f>AND(_xlfn.ISFORMULA(B7),IFERROR(ROUND(B7,4)=ROUND(AA7,4),EXACT(B7,AA7)))</f>
        <v/>
      </c>
    </row>
    <row r="8" ht="18" customHeight="1">
      <c r="H8" s="19" t="inlineStr">
        <is>
          <t>칸마다 따로 채점합니다. 첫 칸만 맞고 아래가 틀리면 — 끌어내릴 때 움직이면 안 되는 주소에 $ 가 있는지 보세요.</t>
        </is>
      </c>
    </row>
    <row r="9" ht="18" customHeight="1"/>
    <row r="11" ht="18" customHeight="1">
      <c r="H11" s="20" t="inlineStr">
        <is>
          <t>💡 막히면: MID(문자열, 시작위치, 글자수)</t>
        </is>
      </c>
    </row>
    <row r="12" ht="18" customHeight="1"/>
  </sheetData>
  <mergeCells count="6">
    <mergeCell ref="H11:N12"/>
    <mergeCell ref="H5:N6"/>
    <mergeCell ref="H8:N9"/>
    <mergeCell ref="H2:N4"/>
    <mergeCell ref="H1:N1"/>
    <mergeCell ref="I7:K7"/>
  </mergeCells>
  <conditionalFormatting sqref="I7">
    <cfRule type="expression" priority="1" dxfId="0">
      <formula>ISNUMBER(SEARCH("맞",I7))</formula>
    </cfRule>
    <cfRule type="expression" priority="2" dxfId="1">
      <formula>ISNUMBER(SEARCH("다시",I7))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AB1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3" customWidth="1" min="4" max="4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이름</t>
        </is>
      </c>
      <c r="B1" s="12" t="inlineStr">
        <is>
          <t>부서</t>
        </is>
      </c>
      <c r="C1" s="12" t="inlineStr">
        <is>
          <t>표시</t>
        </is>
      </c>
      <c r="H1" s="13" t="inlineStr">
        <is>
          <t>6번 · 괄호로 묶기</t>
        </is>
      </c>
    </row>
    <row r="2" ht="22" customHeight="1">
      <c r="A2" s="7" t="inlineStr">
        <is>
          <t>김철수</t>
        </is>
      </c>
      <c r="B2" s="7" t="inlineStr">
        <is>
          <t>영업</t>
        </is>
      </c>
      <c r="C2" s="14" t="n">
        <v>0</v>
      </c>
      <c r="H2" s="15" t="inlineStr">
        <is>
          <t>"이름(부서)" 형태로 [C2:C6]에 표시하시오. (예: 김철수(영업))</t>
        </is>
      </c>
      <c r="AA2">
        <f>A2&amp;"("&amp;B2&amp;")"</f>
        <v/>
      </c>
      <c r="AB2">
        <f>AND(_xlfn.ISFORMULA(C2),IFERROR(ROUND(C2,4)=ROUND(AA2,4),EXACT(C2,AA2)))</f>
        <v/>
      </c>
    </row>
    <row r="3" ht="22" customHeight="1">
      <c r="A3" s="7" t="inlineStr">
        <is>
          <t>이바다</t>
        </is>
      </c>
      <c r="B3" s="7" t="inlineStr">
        <is>
          <t>기획</t>
        </is>
      </c>
      <c r="C3" s="14" t="n">
        <v>0</v>
      </c>
      <c r="AA3">
        <f>A3&amp;"("&amp;B3&amp;")"</f>
        <v/>
      </c>
      <c r="AB3">
        <f>AND(_xlfn.ISFORMULA(C3),IFERROR(ROUND(C3,4)=ROUND(AA3,4),EXACT(C3,AA3)))</f>
        <v/>
      </c>
    </row>
    <row r="4" ht="22" customHeight="1">
      <c r="A4" s="7" t="inlineStr">
        <is>
          <t>박구름</t>
        </is>
      </c>
      <c r="B4" s="7" t="inlineStr">
        <is>
          <t>생산</t>
        </is>
      </c>
      <c r="C4" s="14" t="n">
        <v>0</v>
      </c>
      <c r="AA4">
        <f>A4&amp;"("&amp;B4&amp;")"</f>
        <v/>
      </c>
      <c r="AB4">
        <f>AND(_xlfn.ISFORMULA(C4),IFERROR(ROUND(C4,4)=ROUND(AA4,4),EXACT(C4,AA4)))</f>
        <v/>
      </c>
    </row>
    <row r="5" ht="20" customHeight="1">
      <c r="A5" s="7" t="inlineStr">
        <is>
          <t>최나무</t>
        </is>
      </c>
      <c r="B5" s="7" t="inlineStr">
        <is>
          <t>품질</t>
        </is>
      </c>
      <c r="C5" s="14" t="n">
        <v>0</v>
      </c>
      <c r="H5" s="16" t="inlineStr">
        <is>
          <t>① C2 의 0 을 지우고 수식을 넣습니다.
② 채우기 핸들(칸 오른쪽 아래 ■)을 C6 까지 끌어내립니다.</t>
        </is>
      </c>
      <c r="AA5">
        <f>A5&amp;"("&amp;B5&amp;")"</f>
        <v/>
      </c>
      <c r="AB5">
        <f>AND(_xlfn.ISFORMULA(C5),IFERROR(ROUND(C5,4)=ROUND(AA5,4),EXACT(C5,AA5)))</f>
        <v/>
      </c>
    </row>
    <row r="6" ht="20" customHeight="1">
      <c r="A6" s="7" t="inlineStr">
        <is>
          <t>정새벽</t>
        </is>
      </c>
      <c r="B6" s="7" t="inlineStr">
        <is>
          <t>보전</t>
        </is>
      </c>
      <c r="C6" s="14" t="n">
        <v>0</v>
      </c>
      <c r="AA6">
        <f>A6&amp;"("&amp;B6&amp;")"</f>
        <v/>
      </c>
      <c r="AB6">
        <f>AND(_xlfn.ISFORMULA(C6),IFERROR(ROUND(C6,4)=ROUND(AA6,4),EXACT(C6,AA6)))</f>
        <v/>
      </c>
    </row>
    <row r="7" ht="24" customHeight="1">
      <c r="H7" s="12" t="inlineStr">
        <is>
          <t>채점</t>
        </is>
      </c>
      <c r="I7" s="17">
        <f>IF(NOT(_xlfn.ISFORMULA(C2)),"↖ 0 지우고 수식",IF(COUNTIF(AB2:AB6,TRUE)=5,"✔ 맞음","✘ 다시 ("&amp;COUNTIF(AB2:AB6,TRUE)&amp;" / 5칸)"))</f>
        <v/>
      </c>
      <c r="J7" s="18" t="n"/>
      <c r="K7" s="18" t="n"/>
    </row>
    <row r="8" ht="18" customHeight="1">
      <c r="H8" s="19" t="inlineStr">
        <is>
          <t>칸마다 따로 채점합니다. 첫 칸만 맞고 아래가 틀리면 — 끌어내릴 때 움직이면 안 되는 주소에 $ 가 있는지 보세요.</t>
        </is>
      </c>
    </row>
    <row r="9" ht="18" customHeight="1"/>
    <row r="11" ht="18" customHeight="1">
      <c r="H11" s="20" t="inlineStr">
        <is>
          <t>💡 막히면: 문자열과 셀을 &amp;로 이어 붙임.</t>
        </is>
      </c>
    </row>
    <row r="12" ht="18" customHeight="1"/>
  </sheetData>
  <mergeCells count="6">
    <mergeCell ref="H11:N12"/>
    <mergeCell ref="H5:N6"/>
    <mergeCell ref="H8:N9"/>
    <mergeCell ref="H2:N4"/>
    <mergeCell ref="H1:N1"/>
    <mergeCell ref="I7:K7"/>
  </mergeCells>
  <conditionalFormatting sqref="I7">
    <cfRule type="expression" priority="1" dxfId="0">
      <formula>ISNUMBER(SEARCH("맞",I7))</formula>
    </cfRule>
    <cfRule type="expression" priority="2" dxfId="1">
      <formula>ISNUMBER(SEARCH("다시",I7))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AB1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" customWidth="1" min="3" max="3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메일주소</t>
        </is>
      </c>
      <c r="B1" s="12" t="inlineStr">
        <is>
          <t>아이디</t>
        </is>
      </c>
      <c r="H1" s="13" t="inlineStr">
        <is>
          <t>7번 · FIND로 찾은 위치까지 잘라내기</t>
        </is>
      </c>
    </row>
    <row r="2" ht="22" customHeight="1">
      <c r="A2" s="7" t="inlineStr">
        <is>
          <t>hanbyul@school.kr</t>
        </is>
      </c>
      <c r="B2" s="14" t="n">
        <v>0</v>
      </c>
      <c r="H2" s="15" t="inlineStr">
        <is>
          <t>메일주소[A2:A7]에서 @ 앞부분(아이디)만 [B2:B7]에 표시하시오.</t>
        </is>
      </c>
      <c r="AA2">
        <f>LEFT(A2,FIND("@",A2)-1)</f>
        <v/>
      </c>
      <c r="AB2">
        <f>AND(_xlfn.ISFORMULA(B2),IFERROR(ROUND(B2,4)=ROUND(AA2,4),EXACT(B2,AA2)))</f>
        <v/>
      </c>
    </row>
    <row r="3" ht="22" customHeight="1">
      <c r="A3" s="7" t="inlineStr">
        <is>
          <t>gureum@factory.co.kr</t>
        </is>
      </c>
      <c r="B3" s="14" t="n">
        <v>0</v>
      </c>
      <c r="AA3">
        <f>LEFT(A3,FIND("@",A3)-1)</f>
        <v/>
      </c>
      <c r="AB3">
        <f>AND(_xlfn.ISFORMULA(B3),IFERROR(ROUND(B3,4)=ROUND(AA3,4),EXACT(B3,AA3)))</f>
        <v/>
      </c>
    </row>
    <row r="4" ht="22" customHeight="1">
      <c r="A4" s="7" t="inlineStr">
        <is>
          <t>a@b.kr</t>
        </is>
      </c>
      <c r="B4" s="14" t="n">
        <v>0</v>
      </c>
      <c r="AA4">
        <f>LEFT(A4,FIND("@",A4)-1)</f>
        <v/>
      </c>
      <c r="AB4">
        <f>AND(_xlfn.ISFORMULA(B4),IFERROR(ROUND(B4,4)=ROUND(AA4,4),EXACT(B4,AA4)))</f>
        <v/>
      </c>
    </row>
    <row r="5" ht="20" customHeight="1">
      <c r="A5" s="7" t="inlineStr">
        <is>
          <t>plc_master@school.kr</t>
        </is>
      </c>
      <c r="B5" s="14" t="n">
        <v>0</v>
      </c>
      <c r="H5" s="16" t="inlineStr">
        <is>
          <t>① B2 의 0 을 지우고 수식을 넣습니다.
② 채우기 핸들(칸 오른쪽 아래 ■)을 B7 까지 끌어내립니다.</t>
        </is>
      </c>
      <c r="AA5">
        <f>LEFT(A5,FIND("@",A5)-1)</f>
        <v/>
      </c>
      <c r="AB5">
        <f>AND(_xlfn.ISFORMULA(B5),IFERROR(ROUND(B5,4)=ROUND(AA5,4),EXACT(B5,AA5)))</f>
        <v/>
      </c>
    </row>
    <row r="6" ht="20" customHeight="1">
      <c r="A6" s="7" t="inlineStr">
        <is>
          <t>nam.u@mail.net</t>
        </is>
      </c>
      <c r="B6" s="14" t="n">
        <v>0</v>
      </c>
      <c r="AA6">
        <f>LEFT(A6,FIND("@",A6)-1)</f>
        <v/>
      </c>
      <c r="AB6">
        <f>AND(_xlfn.ISFORMULA(B6),IFERROR(ROUND(B6,4)=ROUND(AA6,4),EXACT(B6,AA6)))</f>
        <v/>
      </c>
    </row>
    <row r="7" ht="24" customHeight="1">
      <c r="A7" s="7" t="inlineStr">
        <is>
          <t>cnc01@ggmt.hs.kr</t>
        </is>
      </c>
      <c r="B7" s="14" t="n">
        <v>0</v>
      </c>
      <c r="H7" s="12" t="inlineStr">
        <is>
          <t>채점</t>
        </is>
      </c>
      <c r="I7" s="17">
        <f>IF(NOT(_xlfn.ISFORMULA(B2)),"↖ 0 지우고 수식",IF(COUNTIF(AB2:AB7,TRUE)=6,"✔ 맞음","✘ 다시 ("&amp;COUNTIF(AB2:AB7,TRUE)&amp;" / 6칸)"))</f>
        <v/>
      </c>
      <c r="J7" s="18" t="n"/>
      <c r="K7" s="18" t="n"/>
      <c r="AA7">
        <f>LEFT(A7,FIND("@",A7)-1)</f>
        <v/>
      </c>
      <c r="AB7">
        <f>AND(_xlfn.ISFORMULA(B7),IFERROR(ROUND(B7,4)=ROUND(AA7,4),EXACT(B7,AA7)))</f>
        <v/>
      </c>
    </row>
    <row r="8" ht="18" customHeight="1">
      <c r="H8" s="19" t="inlineStr">
        <is>
          <t>칸마다 따로 채점합니다. 첫 칸만 맞고 아래가 틀리면 — 끌어내릴 때 움직이면 안 되는 주소에 $ 가 있는지 보세요.</t>
        </is>
      </c>
    </row>
    <row r="9" ht="18" customHeight="1"/>
    <row r="11" ht="18" customHeight="1">
      <c r="H11" s="20" t="inlineStr">
        <is>
          <t>💡 막히면: FIND로 @ 위치를 찾고, 그보다 1 적은 만큼 왼쪽에서 잘라냅니다.</t>
        </is>
      </c>
    </row>
    <row r="12" ht="18" customHeight="1"/>
  </sheetData>
  <mergeCells count="6">
    <mergeCell ref="H11:N12"/>
    <mergeCell ref="H5:N6"/>
    <mergeCell ref="H8:N9"/>
    <mergeCell ref="H2:N4"/>
    <mergeCell ref="H1:N1"/>
    <mergeCell ref="I7:K7"/>
  </mergeCells>
  <conditionalFormatting sqref="I7">
    <cfRule type="expression" priority="1" dxfId="0">
      <formula>ISNUMBER(SEARCH("맞",I7))</formula>
    </cfRule>
    <cfRule type="expression" priority="2" dxfId="1">
      <formula>ISNUMBER(SEARCH("다시",I7))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AB1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" customWidth="1" min="3" max="3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메일주소</t>
        </is>
      </c>
      <c r="B1" s="12" t="inlineStr">
        <is>
          <t>도메인</t>
        </is>
      </c>
      <c r="H1" s="13" t="inlineStr">
        <is>
          <t>8번 · @ 뒤의 도메인만</t>
        </is>
      </c>
    </row>
    <row r="2" ht="22" customHeight="1">
      <c r="A2" s="7" t="inlineStr">
        <is>
          <t>hanbyul@school.kr</t>
        </is>
      </c>
      <c r="B2" s="14" t="n">
        <v>0</v>
      </c>
      <c r="H2" s="15" t="inlineStr">
        <is>
          <t>메일주소[A2:A7]에서 @ 뒷부분(도메인)만 [B2:B7]에 표시하시오.</t>
        </is>
      </c>
      <c r="AA2">
        <f>MID(A2,FIND("@",A2)+1,LEN(A2))</f>
        <v/>
      </c>
      <c r="AB2">
        <f>AND(_xlfn.ISFORMULA(B2),IFERROR(ROUND(B2,4)=ROUND(AA2,4),EXACT(B2,AA2)))</f>
        <v/>
      </c>
    </row>
    <row r="3" ht="22" customHeight="1">
      <c r="A3" s="7" t="inlineStr">
        <is>
          <t>gureum@factory.co.kr</t>
        </is>
      </c>
      <c r="B3" s="14" t="n">
        <v>0</v>
      </c>
      <c r="AA3">
        <f>MID(A3,FIND("@",A3)+1,LEN(A3))</f>
        <v/>
      </c>
      <c r="AB3">
        <f>AND(_xlfn.ISFORMULA(B3),IFERROR(ROUND(B3,4)=ROUND(AA3,4),EXACT(B3,AA3)))</f>
        <v/>
      </c>
    </row>
    <row r="4" ht="22" customHeight="1">
      <c r="A4" s="7" t="inlineStr">
        <is>
          <t>a@b.kr</t>
        </is>
      </c>
      <c r="B4" s="14" t="n">
        <v>0</v>
      </c>
      <c r="AA4">
        <f>MID(A4,FIND("@",A4)+1,LEN(A4))</f>
        <v/>
      </c>
      <c r="AB4">
        <f>AND(_xlfn.ISFORMULA(B4),IFERROR(ROUND(B4,4)=ROUND(AA4,4),EXACT(B4,AA4)))</f>
        <v/>
      </c>
    </row>
    <row r="5" ht="20" customHeight="1">
      <c r="A5" s="7" t="inlineStr">
        <is>
          <t>plc_master@school.kr</t>
        </is>
      </c>
      <c r="B5" s="14" t="n">
        <v>0</v>
      </c>
      <c r="H5" s="16" t="inlineStr">
        <is>
          <t>① B2 의 0 을 지우고 수식을 넣습니다.
② 채우기 핸들(칸 오른쪽 아래 ■)을 B7 까지 끌어내립니다.</t>
        </is>
      </c>
      <c r="AA5">
        <f>MID(A5,FIND("@",A5)+1,LEN(A5))</f>
        <v/>
      </c>
      <c r="AB5">
        <f>AND(_xlfn.ISFORMULA(B5),IFERROR(ROUND(B5,4)=ROUND(AA5,4),EXACT(B5,AA5)))</f>
        <v/>
      </c>
    </row>
    <row r="6" ht="20" customHeight="1">
      <c r="A6" s="7" t="inlineStr">
        <is>
          <t>nam.u@mail.net</t>
        </is>
      </c>
      <c r="B6" s="14" t="n">
        <v>0</v>
      </c>
      <c r="AA6">
        <f>MID(A6,FIND("@",A6)+1,LEN(A6))</f>
        <v/>
      </c>
      <c r="AB6">
        <f>AND(_xlfn.ISFORMULA(B6),IFERROR(ROUND(B6,4)=ROUND(AA6,4),EXACT(B6,AA6)))</f>
        <v/>
      </c>
    </row>
    <row r="7" ht="24" customHeight="1">
      <c r="A7" s="7" t="inlineStr">
        <is>
          <t>cnc01@ggmt.hs.kr</t>
        </is>
      </c>
      <c r="B7" s="14" t="n">
        <v>0</v>
      </c>
      <c r="H7" s="12" t="inlineStr">
        <is>
          <t>채점</t>
        </is>
      </c>
      <c r="I7" s="17">
        <f>IF(NOT(_xlfn.ISFORMULA(B2)),"↖ 0 지우고 수식",IF(COUNTIF(AB2:AB7,TRUE)=6,"✔ 맞음","✘ 다시 ("&amp;COUNTIF(AB2:AB7,TRUE)&amp;" / 6칸)"))</f>
        <v/>
      </c>
      <c r="J7" s="18" t="n"/>
      <c r="K7" s="18" t="n"/>
      <c r="AA7">
        <f>MID(A7,FIND("@",A7)+1,LEN(A7))</f>
        <v/>
      </c>
      <c r="AB7">
        <f>AND(_xlfn.ISFORMULA(B7),IFERROR(ROUND(B7,4)=ROUND(AA7,4),EXACT(B7,AA7)))</f>
        <v/>
      </c>
    </row>
    <row r="8" ht="18" customHeight="1">
      <c r="H8" s="19" t="inlineStr">
        <is>
          <t>칸마다 따로 채점합니다. 첫 칸만 맞고 아래가 틀리면 — 끌어내릴 때 움직이면 안 되는 주소에 $ 가 있는지 보세요.</t>
        </is>
      </c>
    </row>
    <row r="9" ht="18" customHeight="1"/>
    <row r="11" ht="18" customHeight="1">
      <c r="H11" s="20" t="inlineStr">
        <is>
          <t>💡 막히면: MID(문자열, @위치+1, 넉넉한 길이)</t>
        </is>
      </c>
    </row>
    <row r="12" ht="18" customHeight="1"/>
  </sheetData>
  <mergeCells count="6">
    <mergeCell ref="H11:N12"/>
    <mergeCell ref="H5:N6"/>
    <mergeCell ref="H8:N9"/>
    <mergeCell ref="H2:N4"/>
    <mergeCell ref="H1:N1"/>
    <mergeCell ref="I7:K7"/>
  </mergeCells>
  <conditionalFormatting sqref="I7">
    <cfRule type="expression" priority="1" dxfId="0">
      <formula>ISNUMBER(SEARCH("맞",I7))</formula>
    </cfRule>
    <cfRule type="expression" priority="2" dxfId="1">
      <formula>ISNUMBER(SEARCH("다시",I7))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AB1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" customWidth="1" min="3" max="3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주민번호</t>
        </is>
      </c>
      <c r="B1" s="12" t="inlineStr">
        <is>
          <t>표시</t>
        </is>
      </c>
      <c r="H1" s="13" t="inlineStr">
        <is>
          <t>9번 · REPLACE로 가운데 가리기</t>
        </is>
      </c>
    </row>
    <row r="2" ht="22" customHeight="1">
      <c r="A2" s="7" t="inlineStr">
        <is>
          <t>990101-1234567</t>
        </is>
      </c>
      <c r="B2" s="14" t="n">
        <v>0</v>
      </c>
      <c r="H2" s="15" t="inlineStr">
        <is>
          <t>주민번호[A2:A6]의 9번째부터 6글자를 "******"로 바꿔 [B2:B6]에 표시하시오.</t>
        </is>
      </c>
      <c r="AA2">
        <f>REPLACE(A2,9,6,"******")</f>
        <v/>
      </c>
      <c r="AB2">
        <f>AND(_xlfn.ISFORMULA(B2),IFERROR(ROUND(B2,4)=ROUND(AA2,4),EXACT(B2,AA2)))</f>
        <v/>
      </c>
    </row>
    <row r="3" ht="22" customHeight="1">
      <c r="A3" s="7" t="inlineStr">
        <is>
          <t>050608-4123456</t>
        </is>
      </c>
      <c r="B3" s="14" t="n">
        <v>0</v>
      </c>
      <c r="AA3">
        <f>REPLACE(A3,9,6,"******")</f>
        <v/>
      </c>
      <c r="AB3">
        <f>AND(_xlfn.ISFORMULA(B3),IFERROR(ROUND(B3,4)=ROUND(AA3,4),EXACT(B3,AA3)))</f>
        <v/>
      </c>
    </row>
    <row r="4" ht="22" customHeight="1">
      <c r="A4" s="7" t="inlineStr">
        <is>
          <t>981231-2000001</t>
        </is>
      </c>
      <c r="B4" s="14" t="n">
        <v>0</v>
      </c>
      <c r="AA4">
        <f>REPLACE(A4,9,6,"******")</f>
        <v/>
      </c>
      <c r="AB4">
        <f>AND(_xlfn.ISFORMULA(B4),IFERROR(ROUND(B4,4)=ROUND(AA4,4),EXACT(B4,AA4)))</f>
        <v/>
      </c>
    </row>
    <row r="5" ht="20" customHeight="1">
      <c r="A5" s="7" t="inlineStr">
        <is>
          <t>101010-3456789</t>
        </is>
      </c>
      <c r="B5" s="14" t="n">
        <v>0</v>
      </c>
      <c r="H5" s="16" t="inlineStr">
        <is>
          <t>① B2 의 0 을 지우고 수식을 넣습니다.
② 채우기 핸들(칸 오른쪽 아래 ■)을 B6 까지 끌어내립니다.</t>
        </is>
      </c>
      <c r="AA5">
        <f>REPLACE(A5,9,6,"******")</f>
        <v/>
      </c>
      <c r="AB5">
        <f>AND(_xlfn.ISFORMULA(B5),IFERROR(ROUND(B5,4)=ROUND(AA5,4),EXACT(B5,AA5)))</f>
        <v/>
      </c>
    </row>
    <row r="6" ht="20" customHeight="1">
      <c r="A6" s="7" t="inlineStr">
        <is>
          <t>070707-1777777</t>
        </is>
      </c>
      <c r="B6" s="14" t="n">
        <v>0</v>
      </c>
      <c r="AA6">
        <f>REPLACE(A6,9,6,"******")</f>
        <v/>
      </c>
      <c r="AB6">
        <f>AND(_xlfn.ISFORMULA(B6),IFERROR(ROUND(B6,4)=ROUND(AA6,4),EXACT(B6,AA6)))</f>
        <v/>
      </c>
    </row>
    <row r="7" ht="24" customHeight="1">
      <c r="H7" s="12" t="inlineStr">
        <is>
          <t>채점</t>
        </is>
      </c>
      <c r="I7" s="17">
        <f>IF(NOT(_xlfn.ISFORMULA(B2)),"↖ 0 지우고 수식",IF(COUNTIF(AB2:AB6,TRUE)=5,"✔ 맞음","✘ 다시 ("&amp;COUNTIF(AB2:AB6,TRUE)&amp;" / 5칸)"))</f>
        <v/>
      </c>
      <c r="J7" s="18" t="n"/>
      <c r="K7" s="18" t="n"/>
    </row>
    <row r="8" ht="18" customHeight="1">
      <c r="H8" s="19" t="inlineStr">
        <is>
          <t>칸마다 따로 채점합니다. 첫 칸만 맞고 아래가 틀리면 — 끌어내릴 때 움직이면 안 되는 주소에 $ 가 있는지 보세요.</t>
        </is>
      </c>
    </row>
    <row r="9" ht="18" customHeight="1"/>
    <row r="11" ht="18" customHeight="1">
      <c r="H11" s="20" t="inlineStr">
        <is>
          <t>💡 막히면: REPLACE(문자열, 시작위치, 바꿀 개수, 새 문자열)</t>
        </is>
      </c>
    </row>
    <row r="12" ht="18" customHeight="1"/>
  </sheetData>
  <mergeCells count="6">
    <mergeCell ref="H11:N12"/>
    <mergeCell ref="H5:N6"/>
    <mergeCell ref="H8:N9"/>
    <mergeCell ref="H2:N4"/>
    <mergeCell ref="H1:N1"/>
    <mergeCell ref="I7:K7"/>
  </mergeCells>
  <conditionalFormatting sqref="I7">
    <cfRule type="expression" priority="1" dxfId="0">
      <formula>ISNUMBER(SEARCH("맞",I7))</formula>
    </cfRule>
    <cfRule type="expression" priority="2" dxfId="1">
      <formula>ISNUMBER(SEARCH("다시",I7))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AB1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3" customWidth="1" min="4" max="4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이름</t>
        </is>
      </c>
      <c r="B1" s="12" t="inlineStr">
        <is>
          <t>직급</t>
        </is>
      </c>
      <c r="C1" s="12" t="inlineStr">
        <is>
          <t>표시</t>
        </is>
      </c>
      <c r="H1" s="13" t="inlineStr">
        <is>
          <t>10번 · 이름과 직급을 붙여 표시</t>
        </is>
      </c>
    </row>
    <row r="2" ht="22" customHeight="1">
      <c r="A2" s="7" t="inlineStr">
        <is>
          <t>김한별</t>
        </is>
      </c>
      <c r="B2" s="7" t="inlineStr">
        <is>
          <t>과장</t>
        </is>
      </c>
      <c r="C2" s="14" t="n">
        <v>0</v>
      </c>
      <c r="H2" s="15" t="inlineStr">
        <is>
          <t>이름[A2:A6]과 직급[B2:B6]을 "김한별 과장"처럼 가운데 공백을 넣어 [C2:C6]에 표시하시오.</t>
        </is>
      </c>
      <c r="AA2">
        <f>A2&amp;" "&amp;B2</f>
        <v/>
      </c>
      <c r="AB2">
        <f>AND(_xlfn.ISFORMULA(C2),IFERROR(ROUND(C2,4)=ROUND(AA2,4),EXACT(C2,AA2)))</f>
        <v/>
      </c>
    </row>
    <row r="3" ht="22" customHeight="1">
      <c r="A3" s="7" t="inlineStr">
        <is>
          <t>이보람</t>
        </is>
      </c>
      <c r="B3" s="7" t="inlineStr">
        <is>
          <t>대리</t>
        </is>
      </c>
      <c r="C3" s="14" t="n">
        <v>0</v>
      </c>
      <c r="AA3">
        <f>A3&amp;" "&amp;B3</f>
        <v/>
      </c>
      <c r="AB3">
        <f>AND(_xlfn.ISFORMULA(C3),IFERROR(ROUND(C3,4)=ROUND(AA3,4),EXACT(C3,AA3)))</f>
        <v/>
      </c>
    </row>
    <row r="4" ht="22" customHeight="1">
      <c r="A4" s="7" t="inlineStr">
        <is>
          <t>정하늘</t>
        </is>
      </c>
      <c r="B4" s="7" t="inlineStr">
        <is>
          <t>사원</t>
        </is>
      </c>
      <c r="C4" s="14" t="n">
        <v>0</v>
      </c>
      <c r="AA4">
        <f>A4&amp;" "&amp;B4</f>
        <v/>
      </c>
      <c r="AB4">
        <f>AND(_xlfn.ISFORMULA(C4),IFERROR(ROUND(C4,4)=ROUND(AA4,4),EXACT(C4,AA4)))</f>
        <v/>
      </c>
    </row>
    <row r="5" ht="20" customHeight="1">
      <c r="A5" s="7" t="inlineStr">
        <is>
          <t>한겨울</t>
        </is>
      </c>
      <c r="B5" s="7" t="inlineStr">
        <is>
          <t>부장</t>
        </is>
      </c>
      <c r="C5" s="14" t="n">
        <v>0</v>
      </c>
      <c r="H5" s="16" t="inlineStr">
        <is>
          <t>① C2 의 0 을 지우고 수식을 넣습니다.
② 채우기 핸들(칸 오른쪽 아래 ■)을 C6 까지 끌어내립니다.</t>
        </is>
      </c>
      <c r="AA5">
        <f>A5&amp;" "&amp;B5</f>
        <v/>
      </c>
      <c r="AB5">
        <f>AND(_xlfn.ISFORMULA(C5),IFERROR(ROUND(C5,4)=ROUND(AA5,4),EXACT(C5,AA5)))</f>
        <v/>
      </c>
    </row>
    <row r="6" ht="20" customHeight="1">
      <c r="A6" s="7" t="inlineStr">
        <is>
          <t>서지호</t>
        </is>
      </c>
      <c r="B6" s="7" t="inlineStr">
        <is>
          <t>차장</t>
        </is>
      </c>
      <c r="C6" s="14" t="n">
        <v>0</v>
      </c>
      <c r="AA6">
        <f>A6&amp;" "&amp;B6</f>
        <v/>
      </c>
      <c r="AB6">
        <f>AND(_xlfn.ISFORMULA(C6),IFERROR(ROUND(C6,4)=ROUND(AA6,4),EXACT(C6,AA6)))</f>
        <v/>
      </c>
    </row>
    <row r="7" ht="24" customHeight="1">
      <c r="H7" s="12" t="inlineStr">
        <is>
          <t>채점</t>
        </is>
      </c>
      <c r="I7" s="17">
        <f>IF(NOT(_xlfn.ISFORMULA(C2)),"↖ 0 지우고 수식",IF(COUNTIF(AB2:AB6,TRUE)=5,"✔ 맞음","✘ 다시 ("&amp;COUNTIF(AB2:AB6,TRUE)&amp;" / 5칸)"))</f>
        <v/>
      </c>
      <c r="J7" s="18" t="n"/>
      <c r="K7" s="18" t="n"/>
    </row>
    <row r="8" ht="18" customHeight="1">
      <c r="H8" s="19" t="inlineStr">
        <is>
          <t>칸마다 따로 채점합니다. 첫 칸만 맞고 아래가 틀리면 — 끌어내릴 때 움직이면 안 되는 주소에 $ 가 있는지 보세요.</t>
        </is>
      </c>
    </row>
    <row r="9" ht="18" customHeight="1"/>
    <row r="11" ht="18" customHeight="1">
      <c r="H11" s="20" t="inlineStr">
        <is>
          <t>💡 막히면: &amp; 로 이어 붙입니다. 공백도 " " 처럼 문자로 넣어야 해요.</t>
        </is>
      </c>
    </row>
    <row r="12" ht="18" customHeight="1"/>
  </sheetData>
  <mergeCells count="6">
    <mergeCell ref="H11:N12"/>
    <mergeCell ref="H5:N6"/>
    <mergeCell ref="H8:N9"/>
    <mergeCell ref="H2:N4"/>
    <mergeCell ref="H1:N1"/>
    <mergeCell ref="I7:K7"/>
  </mergeCells>
  <conditionalFormatting sqref="I7">
    <cfRule type="expression" priority="1" dxfId="0">
      <formula>ISNUMBER(SEARCH("맞",I7))</formula>
    </cfRule>
    <cfRule type="expression" priority="2" dxfId="1">
      <formula>ISNUMBER(SEARCH("다시",I7))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AB12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4" customWidth="1" min="3" max="3"/>
    <col width="3" customWidth="1" min="4" max="4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수량(문자)</t>
        </is>
      </c>
      <c r="B1" s="12" t="inlineStr">
        <is>
          <t>단가</t>
        </is>
      </c>
      <c r="C1" s="12" t="inlineStr">
        <is>
          <t>금액</t>
        </is>
      </c>
      <c r="H1" s="13" t="inlineStr">
        <is>
          <t>11번 · 문자로 된 숫자를 계산에 쓰기</t>
        </is>
      </c>
    </row>
    <row r="2" ht="22" customHeight="1">
      <c r="A2" s="7" t="inlineStr">
        <is>
          <t>15</t>
        </is>
      </c>
      <c r="B2" s="7" t="n">
        <v>200</v>
      </c>
      <c r="C2" s="14" t="n">
        <v>0</v>
      </c>
      <c r="H2" s="15" t="inlineStr">
        <is>
          <t>문자로 입력된 수량[A2:A6]을 숫자로 바꿔 단가[B2:B6]와 곱한 금액을 [C2:C6]에 구하시오.</t>
        </is>
      </c>
      <c r="AA2">
        <f>VALUE(A2)*B2</f>
        <v/>
      </c>
      <c r="AB2">
        <f>AND(_xlfn.ISFORMULA(C2),IFERROR(ROUND(C2,4)=ROUND(AA2,4),EXACT(C2,AA2)))</f>
        <v/>
      </c>
    </row>
    <row r="3" ht="22" customHeight="1">
      <c r="A3" s="7" t="inlineStr">
        <is>
          <t>8</t>
        </is>
      </c>
      <c r="B3" s="7" t="n">
        <v>1500</v>
      </c>
      <c r="C3" s="14" t="n">
        <v>0</v>
      </c>
      <c r="AA3">
        <f>VALUE(A3)*B3</f>
        <v/>
      </c>
      <c r="AB3">
        <f>AND(_xlfn.ISFORMULA(C3),IFERROR(ROUND(C3,4)=ROUND(AA3,4),EXACT(C3,AA3)))</f>
        <v/>
      </c>
    </row>
    <row r="4" ht="22" customHeight="1">
      <c r="A4" s="7" t="inlineStr">
        <is>
          <t>120</t>
        </is>
      </c>
      <c r="B4" s="7" t="n">
        <v>35</v>
      </c>
      <c r="C4" s="14" t="n">
        <v>0</v>
      </c>
      <c r="AA4">
        <f>VALUE(A4)*B4</f>
        <v/>
      </c>
      <c r="AB4">
        <f>AND(_xlfn.ISFORMULA(C4),IFERROR(ROUND(C4,4)=ROUND(AA4,4),EXACT(C4,AA4)))</f>
        <v/>
      </c>
    </row>
    <row r="5" ht="20" customHeight="1">
      <c r="A5" s="7" t="inlineStr">
        <is>
          <t>0</t>
        </is>
      </c>
      <c r="B5" s="7" t="n">
        <v>900</v>
      </c>
      <c r="C5" s="14" t="n">
        <v>0</v>
      </c>
      <c r="H5" s="16" t="inlineStr">
        <is>
          <t>① C2 의 0 을 지우고 수식을 넣습니다.
② 채우기 핸들(칸 오른쪽 아래 ■)을 C6 까지 끌어내립니다.</t>
        </is>
      </c>
      <c r="AA5">
        <f>VALUE(A5)*B5</f>
        <v/>
      </c>
      <c r="AB5">
        <f>AND(_xlfn.ISFORMULA(C5),IFERROR(ROUND(C5,4)=ROUND(AA5,4),EXACT(C5,AA5)))</f>
        <v/>
      </c>
    </row>
    <row r="6" ht="20" customHeight="1">
      <c r="A6" s="7" t="inlineStr">
        <is>
          <t>3</t>
        </is>
      </c>
      <c r="B6" s="7" t="n">
        <v>12000</v>
      </c>
      <c r="C6" s="14" t="n">
        <v>0</v>
      </c>
      <c r="AA6">
        <f>VALUE(A6)*B6</f>
        <v/>
      </c>
      <c r="AB6">
        <f>AND(_xlfn.ISFORMULA(C6),IFERROR(ROUND(C6,4)=ROUND(AA6,4),EXACT(C6,AA6)))</f>
        <v/>
      </c>
    </row>
    <row r="7" ht="24" customHeight="1">
      <c r="H7" s="12" t="inlineStr">
        <is>
          <t>채점</t>
        </is>
      </c>
      <c r="I7" s="17">
        <f>IF(NOT(_xlfn.ISFORMULA(C2)),"↖ 0 지우고 수식",IF(COUNTIF(AB2:AB6,TRUE)=5,"✔ 맞음","✘ 다시 ("&amp;COUNTIF(AB2:AB6,TRUE)&amp;" / 5칸)"))</f>
        <v/>
      </c>
      <c r="J7" s="18" t="n"/>
      <c r="K7" s="18" t="n"/>
    </row>
    <row r="8" ht="18" customHeight="1">
      <c r="H8" s="19" t="inlineStr">
        <is>
          <t>칸마다 따로 채점합니다. 첫 칸만 맞고 아래가 틀리면 — 끌어내릴 때 움직이면 안 되는 주소에 $ 가 있는지 보세요.</t>
        </is>
      </c>
    </row>
    <row r="9" ht="18" customHeight="1"/>
    <row r="11" ht="18" customHeight="1">
      <c r="H11" s="20" t="inlineStr">
        <is>
          <t>💡 막히면: VALUE(문자) → 숫자</t>
        </is>
      </c>
    </row>
    <row r="12" ht="18" customHeight="1"/>
  </sheetData>
  <mergeCells count="6">
    <mergeCell ref="H11:N12"/>
    <mergeCell ref="H5:N6"/>
    <mergeCell ref="H8:N9"/>
    <mergeCell ref="H2:N4"/>
    <mergeCell ref="H1:N1"/>
    <mergeCell ref="I7:K7"/>
  </mergeCells>
  <conditionalFormatting sqref="I7">
    <cfRule type="expression" priority="1" dxfId="0">
      <formula>ISNUMBER(SEARCH("맞",I7))</formula>
    </cfRule>
    <cfRule type="expression" priority="2" dxfId="1">
      <formula>ISNUMBER(SEARCH("다시",I7))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E15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52" customWidth="1" min="4" max="4"/>
    <col width="44" customWidth="1" min="5" max="5"/>
  </cols>
  <sheetData>
    <row r="1" ht="26" customHeight="1">
      <c r="A1" s="5" t="inlineStr">
        <is>
          <t>정답 — 먼저 스스로 풀어 본 뒤에 보세요</t>
        </is>
      </c>
    </row>
    <row r="2" ht="30" customHeight="1">
      <c r="A2" s="21" t="inlineStr">
        <is>
          <t>[넣을 칸] 의 첫 칸에 이 수식을 넣고, 칸이 여러 개면 끝까지 끌어내리면 됩니다.</t>
        </is>
      </c>
    </row>
    <row r="4" ht="24" customHeight="1">
      <c r="A4" s="6" t="inlineStr">
        <is>
          <t>번호</t>
        </is>
      </c>
      <c r="B4" s="6" t="inlineStr">
        <is>
          <t>문제</t>
        </is>
      </c>
      <c r="C4" s="6" t="inlineStr">
        <is>
          <t>넣을 칸</t>
        </is>
      </c>
      <c r="D4" s="6" t="inlineStr">
        <is>
          <t>모범답안 (첫 칸)</t>
        </is>
      </c>
      <c r="E4" s="6" t="inlineStr">
        <is>
          <t>힌트</t>
        </is>
      </c>
    </row>
    <row r="5" ht="30" customHeight="1">
      <c r="A5" s="7" t="n">
        <v>1</v>
      </c>
      <c r="B5" s="8" t="inlineStr">
        <is>
          <t>학번에서 학년 추출</t>
        </is>
      </c>
      <c r="C5" s="8" t="inlineStr">
        <is>
          <t>B2:B7</t>
        </is>
      </c>
      <c r="D5" s="22" t="inlineStr">
        <is>
          <t>=LEFT(A2,2)</t>
        </is>
      </c>
      <c r="E5" s="23" t="inlineStr">
        <is>
          <t>LEFT(문자열, 글자수)</t>
        </is>
      </c>
    </row>
    <row r="6" ht="30" customHeight="1">
      <c r="A6" s="24" t="n">
        <v>2</v>
      </c>
      <c r="B6" s="25" t="inlineStr">
        <is>
          <t>이름에 호칭 붙이기</t>
        </is>
      </c>
      <c r="C6" s="25" t="inlineStr">
        <is>
          <t>B2:B7</t>
        </is>
      </c>
      <c r="D6" s="26" t="inlineStr">
        <is>
          <t>=A2&amp;"님"</t>
        </is>
      </c>
      <c r="E6" s="27" t="inlineStr">
        <is>
          <t>문자열 결합은 &amp; 연산자. A2&amp;"님"</t>
        </is>
      </c>
    </row>
    <row r="7" ht="30" customHeight="1">
      <c r="A7" s="7" t="n">
        <v>3</v>
      </c>
      <c r="B7" s="8" t="inlineStr">
        <is>
          <t>뒤 2자리</t>
        </is>
      </c>
      <c r="C7" s="8" t="inlineStr">
        <is>
          <t>B2:B7</t>
        </is>
      </c>
      <c r="D7" s="22" t="inlineStr">
        <is>
          <t>=RIGHT(A2,2)</t>
        </is>
      </c>
      <c r="E7" s="23" t="inlineStr">
        <is>
          <t>RIGHT(문자열, 글자수)</t>
        </is>
      </c>
    </row>
    <row r="8" ht="30" customHeight="1">
      <c r="A8" s="24" t="n">
        <v>4</v>
      </c>
      <c r="B8" s="25" t="inlineStr">
        <is>
          <t>글자 수</t>
        </is>
      </c>
      <c r="C8" s="25" t="inlineStr">
        <is>
          <t>B2:B7</t>
        </is>
      </c>
      <c r="D8" s="26" t="inlineStr">
        <is>
          <t>=LEN(A2)</t>
        </is>
      </c>
      <c r="E8" s="27" t="inlineStr">
        <is>
          <t>LEN(문자열)</t>
        </is>
      </c>
    </row>
    <row r="9" ht="30" customHeight="1">
      <c r="A9" s="7" t="n">
        <v>5</v>
      </c>
      <c r="B9" s="8" t="inlineStr">
        <is>
          <t>가운데 글자</t>
        </is>
      </c>
      <c r="C9" s="8" t="inlineStr">
        <is>
          <t>B2:B7</t>
        </is>
      </c>
      <c r="D9" s="22" t="inlineStr">
        <is>
          <t>=MID(A2,3,2)</t>
        </is>
      </c>
      <c r="E9" s="23" t="inlineStr">
        <is>
          <t>MID(문자열, 시작위치, 글자수)</t>
        </is>
      </c>
    </row>
    <row r="10" ht="30" customHeight="1">
      <c r="A10" s="24" t="n">
        <v>6</v>
      </c>
      <c r="B10" s="25" t="inlineStr">
        <is>
          <t>괄호로 묶기</t>
        </is>
      </c>
      <c r="C10" s="25" t="inlineStr">
        <is>
          <t>C2:C6</t>
        </is>
      </c>
      <c r="D10" s="26" t="inlineStr">
        <is>
          <t>=A2&amp;"("&amp;B2&amp;")"</t>
        </is>
      </c>
      <c r="E10" s="27" t="inlineStr">
        <is>
          <t>문자열과 셀을 &amp;로 이어 붙임.</t>
        </is>
      </c>
    </row>
    <row r="11" ht="30" customHeight="1">
      <c r="A11" s="7" t="n">
        <v>7</v>
      </c>
      <c r="B11" s="8" t="inlineStr">
        <is>
          <t>FIND로 찾은 위치까지 잘라내기</t>
        </is>
      </c>
      <c r="C11" s="8" t="inlineStr">
        <is>
          <t>B2:B7</t>
        </is>
      </c>
      <c r="D11" s="22" t="inlineStr">
        <is>
          <t>=LEFT(A2,FIND("@",A2)-1)</t>
        </is>
      </c>
      <c r="E11" s="23" t="inlineStr">
        <is>
          <t>FIND로 @ 위치를 찾고, 그보다 1 적은 만큼 왼쪽에서 잘라냅니다.</t>
        </is>
      </c>
    </row>
    <row r="12" ht="30" customHeight="1">
      <c r="A12" s="24" t="n">
        <v>8</v>
      </c>
      <c r="B12" s="25" t="inlineStr">
        <is>
          <t>@ 뒤의 도메인만</t>
        </is>
      </c>
      <c r="C12" s="25" t="inlineStr">
        <is>
          <t>B2:B7</t>
        </is>
      </c>
      <c r="D12" s="26" t="inlineStr">
        <is>
          <t>=MID(A2,FIND("@",A2)+1,LEN(A2))</t>
        </is>
      </c>
      <c r="E12" s="27" t="inlineStr">
        <is>
          <t>MID(문자열, @위치+1, 넉넉한 길이)</t>
        </is>
      </c>
    </row>
    <row r="13" ht="30" customHeight="1">
      <c r="A13" s="7" t="n">
        <v>9</v>
      </c>
      <c r="B13" s="8" t="inlineStr">
        <is>
          <t>REPLACE로 가운데 가리기</t>
        </is>
      </c>
      <c r="C13" s="8" t="inlineStr">
        <is>
          <t>B2:B6</t>
        </is>
      </c>
      <c r="D13" s="22" t="inlineStr">
        <is>
          <t>=REPLACE(A2,9,6,"******")</t>
        </is>
      </c>
      <c r="E13" s="23" t="inlineStr">
        <is>
          <t>REPLACE(문자열, 시작위치, 바꿀 개수, 새 문자열)</t>
        </is>
      </c>
    </row>
    <row r="14" ht="30" customHeight="1">
      <c r="A14" s="24" t="n">
        <v>10</v>
      </c>
      <c r="B14" s="25" t="inlineStr">
        <is>
          <t>이름과 직급을 붙여 표시</t>
        </is>
      </c>
      <c r="C14" s="25" t="inlineStr">
        <is>
          <t>C2:C6</t>
        </is>
      </c>
      <c r="D14" s="26" t="inlineStr">
        <is>
          <t>=A2&amp;" "&amp;B2</t>
        </is>
      </c>
      <c r="E14" s="27" t="inlineStr">
        <is>
          <t>&amp; 로 이어 붙입니다. 공백도 " " 처럼 문자로 넣어야 해요.</t>
        </is>
      </c>
    </row>
    <row r="15" ht="30" customHeight="1">
      <c r="A15" s="7" t="n">
        <v>11</v>
      </c>
      <c r="B15" s="8" t="inlineStr">
        <is>
          <t>문자로 된 숫자를 계산에 쓰기</t>
        </is>
      </c>
      <c r="C15" s="8" t="inlineStr">
        <is>
          <t>C2:C6</t>
        </is>
      </c>
      <c r="D15" s="22" t="inlineStr">
        <is>
          <t>=VALUE(A2)*B2</t>
        </is>
      </c>
      <c r="E15" s="23" t="inlineStr">
        <is>
          <t>VALUE(문자) → 숫자</t>
        </is>
      </c>
    </row>
  </sheetData>
  <mergeCells count="2">
    <mergeCell ref="A2:E2"/>
    <mergeCell ref="A1:E1"/>
  </mergeCells>
  <printOptions horizontalCentered="1"/>
  <pageMargins left="0.3" right="0.3" top="0.4" bottom="0.4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2026-09-28T03:23:26Z</dcterms:created>
  <dcterms:modified xmlns:dcterms="http://purl.org/dc/terms/" xmlns:xsi="http://www.w3.org/2001/XMLSchema-instance" xsi:type="dcterms:W3CDTF">2026-09-28T03:23:26Z</dcterms:modified>
</cp:coreProperties>
</file>