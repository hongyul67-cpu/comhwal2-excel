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80점 이상 인원수" sheetId="3" state="visible" r:id="rId3"/>
    <sheet xmlns:r="http://schemas.openxmlformats.org/officeDocument/2006/relationships" name="02 부서별 매출 합계" sheetId="4" state="visible" r:id="rId4"/>
    <sheet xmlns:r="http://schemas.openxmlformats.org/officeDocument/2006/relationships" name="03 합격자 수" sheetId="5" state="visible" r:id="rId5"/>
    <sheet xmlns:r="http://schemas.openxmlformats.org/officeDocument/2006/relationships" name="04 남자 급여 합계" sheetId="6" state="visible" r:id="rId6"/>
    <sheet xmlns:r="http://schemas.openxmlformats.org/officeDocument/2006/relationships" name="05 영업부 평균급여" sheetId="7" state="visible" r:id="rId7"/>
    <sheet xmlns:r="http://schemas.openxmlformats.org/officeDocument/2006/relationships" name="정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조건부집계 (5문제)</t>
        </is>
      </c>
    </row>
    <row r="3" ht="19" customHeight="1">
      <c r="B3" s="2" t="inlineStr">
        <is>
          <t>웹 「함수 연습소」의 [조건부 집계]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조건부집계 5문제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80점 이상 인원수</t>
        </is>
      </c>
      <c r="C4" s="7" t="inlineStr">
        <is>
          <t>B7</t>
        </is>
      </c>
      <c r="D4" s="9">
        <f>'01 80점 이상 인원수'!I6</f>
        <v/>
      </c>
    </row>
    <row r="5">
      <c r="A5" s="7" t="n">
        <v>2</v>
      </c>
      <c r="B5" s="8" t="inlineStr">
        <is>
          <t>부서별 매출 합계</t>
        </is>
      </c>
      <c r="C5" s="7" t="inlineStr">
        <is>
          <t>C6</t>
        </is>
      </c>
      <c r="D5" s="9">
        <f>'02 부서별 매출 합계'!I6</f>
        <v/>
      </c>
    </row>
    <row r="6">
      <c r="A6" s="7" t="n">
        <v>3</v>
      </c>
      <c r="B6" s="8" t="inlineStr">
        <is>
          <t>합격자 수</t>
        </is>
      </c>
      <c r="C6" s="7" t="inlineStr">
        <is>
          <t>B6</t>
        </is>
      </c>
      <c r="D6" s="9">
        <f>'03 합격자 수'!I6</f>
        <v/>
      </c>
    </row>
    <row r="7">
      <c r="A7" s="7" t="n">
        <v>4</v>
      </c>
      <c r="B7" s="8" t="inlineStr">
        <is>
          <t>남자 급여 합계</t>
        </is>
      </c>
      <c r="C7" s="7" t="inlineStr">
        <is>
          <t>C6</t>
        </is>
      </c>
      <c r="D7" s="9">
        <f>'04 남자 급여 합계'!I6</f>
        <v/>
      </c>
    </row>
    <row r="8">
      <c r="A8" s="7" t="n">
        <v>5</v>
      </c>
      <c r="B8" s="8" t="inlineStr">
        <is>
          <t>영업부 평균급여</t>
        </is>
      </c>
      <c r="C8" s="7" t="inlineStr">
        <is>
          <t>C6</t>
        </is>
      </c>
      <c r="D8" s="9">
        <f>'05 영업부 평균급여'!I6</f>
        <v/>
      </c>
    </row>
    <row r="10">
      <c r="B10" s="10" t="inlineStr">
        <is>
          <t>맞은 문제</t>
        </is>
      </c>
      <c r="D10" s="11">
        <f>COUNTIF(D4:D8,"*맞음*")&amp;" / 5"</f>
        <v/>
      </c>
    </row>
  </sheetData>
  <mergeCells count="1">
    <mergeCell ref="A1:D1"/>
  </mergeCells>
  <conditionalFormatting sqref="D4:D8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1번 · 80점 이상 인원수</t>
        </is>
      </c>
    </row>
    <row r="2" ht="22" customHeight="1">
      <c r="A2" s="7" t="inlineStr">
        <is>
          <t>A</t>
        </is>
      </c>
      <c r="B2" s="7" t="n">
        <v>90</v>
      </c>
      <c r="H2" s="14" t="inlineStr">
        <is>
          <t>점수[B2:B6]가 80 이상인 사람의 수를 [B7]에 구하시오.</t>
        </is>
      </c>
    </row>
    <row r="3" ht="22" customHeight="1">
      <c r="A3" s="7" t="inlineStr">
        <is>
          <t>B</t>
        </is>
      </c>
      <c r="B3" s="7" t="n">
        <v>70</v>
      </c>
    </row>
    <row r="4" ht="22" customHeight="1">
      <c r="A4" s="7" t="inlineStr">
        <is>
          <t>C</t>
        </is>
      </c>
      <c r="B4" s="7" t="n">
        <v>85</v>
      </c>
    </row>
    <row r="5" ht="20" customHeight="1">
      <c r="A5" s="7" t="inlineStr">
        <is>
          <t>D</t>
        </is>
      </c>
      <c r="B5" s="7" t="n">
        <v>60</v>
      </c>
      <c r="H5" s="15" t="inlineStr">
        <is>
          <t>B7 의 0 을 지우고 수식을 넣습니다.</t>
        </is>
      </c>
    </row>
    <row r="6" ht="24" customHeight="1">
      <c r="A6" s="7" t="inlineStr">
        <is>
          <t>E</t>
        </is>
      </c>
      <c r="B6" s="7" t="n">
        <v>95</v>
      </c>
      <c r="H6" s="12" t="inlineStr">
        <is>
          <t>채점</t>
        </is>
      </c>
      <c r="I6" s="16">
        <f>IF(NOT(_xlfn.ISFORMULA(B7)),"↖ 0 지우고 수식",IF(COUNTIF(AB7:AB7,TRUE)=1,"✔ 맞음","✘ 다시"))</f>
        <v/>
      </c>
      <c r="J6" s="17" t="n"/>
      <c r="K6" s="17" t="n"/>
    </row>
    <row r="7">
      <c r="A7" s="7" t="inlineStr">
        <is>
          <t>80이상 인원</t>
        </is>
      </c>
      <c r="B7" s="18" t="n">
        <v>0</v>
      </c>
      <c r="AA7">
        <f>COUNTIF(B2:B6,"&gt;=80")</f>
        <v/>
      </c>
      <c r="AB7">
        <f>AND(_xlfn.ISFORMULA(B7),IFERROR(ROUND(B7,4)=ROUND(AA7,4),EXACT(B7,AA7)))</f>
        <v/>
      </c>
    </row>
    <row r="8" ht="18" customHeight="1">
      <c r="H8" s="19" t="inlineStr">
        <is>
          <t>💡 막히면: COUNTIF(범위, "&gt;=80"). 조건은 "따옴표" 안에.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부서</t>
        </is>
      </c>
      <c r="C1" s="12" t="inlineStr">
        <is>
          <t>매출</t>
        </is>
      </c>
      <c r="H1" s="13" t="inlineStr">
        <is>
          <t>2번 · 부서별 매출 합계</t>
        </is>
      </c>
    </row>
    <row r="2" ht="22" customHeight="1">
      <c r="A2" s="7" t="inlineStr">
        <is>
          <t>김</t>
        </is>
      </c>
      <c r="B2" s="7" t="inlineStr">
        <is>
          <t>영업</t>
        </is>
      </c>
      <c r="C2" s="7" t="n">
        <v>300</v>
      </c>
      <c r="H2" s="14" t="inlineStr">
        <is>
          <t>부서[B2:B5]가 "영업"인 사원의 매출[C2:C5] 합계를 [C6]에 구하시오.</t>
        </is>
      </c>
    </row>
    <row r="3" ht="22" customHeight="1">
      <c r="A3" s="7" t="inlineStr">
        <is>
          <t>이</t>
        </is>
      </c>
      <c r="B3" s="7" t="inlineStr">
        <is>
          <t>기획</t>
        </is>
      </c>
      <c r="C3" s="7" t="n">
        <v>150</v>
      </c>
    </row>
    <row r="4" ht="22" customHeight="1">
      <c r="A4" s="7" t="inlineStr">
        <is>
          <t>박</t>
        </is>
      </c>
      <c r="B4" s="7" t="inlineStr">
        <is>
          <t>영업</t>
        </is>
      </c>
      <c r="C4" s="7" t="n">
        <v>220</v>
      </c>
    </row>
    <row r="5" ht="20" customHeight="1">
      <c r="A5" s="7" t="inlineStr">
        <is>
          <t>최</t>
        </is>
      </c>
      <c r="B5" s="7" t="inlineStr">
        <is>
          <t>영업</t>
        </is>
      </c>
      <c r="C5" s="7" t="n">
        <v>180</v>
      </c>
      <c r="H5" s="15" t="inlineStr">
        <is>
          <t>C6 의 0 을 지우고 수식을 넣습니다.</t>
        </is>
      </c>
    </row>
    <row r="6" ht="24" customHeight="1">
      <c r="A6" s="7" t="inlineStr">
        <is>
          <t>영업부 합계</t>
        </is>
      </c>
      <c r="C6" s="18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SUMIF(B2:B5,"영업",C2:C5)</f>
        <v/>
      </c>
      <c r="AB6">
        <f>AND(_xlfn.ISFORMULA(C6),IFERROR(ROUND(C6,4)=ROUND(AA6,4),EXACT(C6,AA6)))</f>
        <v/>
      </c>
    </row>
    <row r="8" ht="18" customHeight="1">
      <c r="H8" s="19" t="inlineStr">
        <is>
          <t>💡 막히면: SUMIF(조건범위, 조건, 합계범위)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결과</t>
        </is>
      </c>
      <c r="H1" s="13" t="inlineStr">
        <is>
          <t>3번 · 합격자 수</t>
        </is>
      </c>
    </row>
    <row r="2" ht="22" customHeight="1">
      <c r="A2" s="7" t="inlineStr">
        <is>
          <t>A</t>
        </is>
      </c>
      <c r="B2" s="7" t="inlineStr">
        <is>
          <t>합격</t>
        </is>
      </c>
      <c r="H2" s="14" t="inlineStr">
        <is>
          <t>결과[B2:B5]가 "합격"인 사람의 수를 [B6]에 구하시오.</t>
        </is>
      </c>
    </row>
    <row r="3" ht="22" customHeight="1">
      <c r="A3" s="7" t="inlineStr">
        <is>
          <t>B</t>
        </is>
      </c>
      <c r="B3" s="7" t="inlineStr">
        <is>
          <t>불합격</t>
        </is>
      </c>
    </row>
    <row r="4" ht="22" customHeight="1">
      <c r="A4" s="7" t="inlineStr">
        <is>
          <t>C</t>
        </is>
      </c>
      <c r="B4" s="7" t="inlineStr">
        <is>
          <t>합격</t>
        </is>
      </c>
    </row>
    <row r="5" ht="20" customHeight="1">
      <c r="A5" s="7" t="inlineStr">
        <is>
          <t>D</t>
        </is>
      </c>
      <c r="B5" s="7" t="inlineStr">
        <is>
          <t>합격</t>
        </is>
      </c>
      <c r="H5" s="15" t="inlineStr">
        <is>
          <t>B6 의 0 을 지우고 수식을 넣습니다.</t>
        </is>
      </c>
    </row>
    <row r="6" ht="24" customHeight="1">
      <c r="A6" s="7" t="inlineStr">
        <is>
          <t>합격자 수</t>
        </is>
      </c>
      <c r="B6" s="18" t="n">
        <v>0</v>
      </c>
      <c r="H6" s="12" t="inlineStr">
        <is>
          <t>채점</t>
        </is>
      </c>
      <c r="I6" s="16">
        <f>IF(NOT(_xlfn.ISFORMULA(B6)),"↖ 0 지우고 수식",IF(COUNTIF(AB6:AB6,TRUE)=1,"✔ 맞음","✘ 다시"))</f>
        <v/>
      </c>
      <c r="J6" s="17" t="n"/>
      <c r="K6" s="17" t="n"/>
      <c r="AA6">
        <f>COUNTIF(B2:B5,"합격")</f>
        <v/>
      </c>
      <c r="AB6">
        <f>AND(_xlfn.ISFORMULA(B6),IFERROR(ROUND(B6,4)=ROUND(AA6,4),EXACT(B6,AA6)))</f>
        <v/>
      </c>
    </row>
    <row r="8" ht="18" customHeight="1">
      <c r="H8" s="19" t="inlineStr">
        <is>
          <t>💡 막히면: COUNTIF(범위, "합격")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성별</t>
        </is>
      </c>
      <c r="C1" s="12" t="inlineStr">
        <is>
          <t>급여</t>
        </is>
      </c>
      <c r="H1" s="13" t="inlineStr">
        <is>
          <t>4번 · 남자 급여 합계</t>
        </is>
      </c>
    </row>
    <row r="2" ht="22" customHeight="1">
      <c r="A2" s="7" t="inlineStr">
        <is>
          <t>A</t>
        </is>
      </c>
      <c r="B2" s="7" t="inlineStr">
        <is>
          <t>남</t>
        </is>
      </c>
      <c r="C2" s="7" t="n">
        <v>300</v>
      </c>
      <c r="H2" s="14" t="inlineStr">
        <is>
          <t>성별[B2:B5]이 "남"인 사원의 급여[C2:C5] 합계를 [C6]에 구하시오.</t>
        </is>
      </c>
    </row>
    <row r="3" ht="22" customHeight="1">
      <c r="A3" s="7" t="inlineStr">
        <is>
          <t>B</t>
        </is>
      </c>
      <c r="B3" s="7" t="inlineStr">
        <is>
          <t>여</t>
        </is>
      </c>
      <c r="C3" s="7" t="n">
        <v>280</v>
      </c>
    </row>
    <row r="4" ht="22" customHeight="1">
      <c r="A4" s="7" t="inlineStr">
        <is>
          <t>C</t>
        </is>
      </c>
      <c r="B4" s="7" t="inlineStr">
        <is>
          <t>남</t>
        </is>
      </c>
      <c r="C4" s="7" t="n">
        <v>320</v>
      </c>
    </row>
    <row r="5" ht="20" customHeight="1">
      <c r="A5" s="7" t="inlineStr">
        <is>
          <t>D</t>
        </is>
      </c>
      <c r="B5" s="7" t="inlineStr">
        <is>
          <t>여</t>
        </is>
      </c>
      <c r="C5" s="7" t="n">
        <v>260</v>
      </c>
      <c r="H5" s="15" t="inlineStr">
        <is>
          <t>C6 의 0 을 지우고 수식을 넣습니다.</t>
        </is>
      </c>
    </row>
    <row r="6" ht="24" customHeight="1">
      <c r="A6" s="7" t="inlineStr">
        <is>
          <t>남자 급여합</t>
        </is>
      </c>
      <c r="C6" s="18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SUMIF(B2:B5,"남",C2:C5)</f>
        <v/>
      </c>
      <c r="AB6">
        <f>AND(_xlfn.ISFORMULA(C6),IFERROR(ROUND(C6,4)=ROUND(AA6,4),EXACT(C6,AA6)))</f>
        <v/>
      </c>
    </row>
    <row r="8" ht="18" customHeight="1">
      <c r="H8" s="19" t="inlineStr">
        <is>
          <t>💡 막히면: SUMIF(조건범위,"남",합계범위)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부서</t>
        </is>
      </c>
      <c r="C1" s="12" t="inlineStr">
        <is>
          <t>급여</t>
        </is>
      </c>
      <c r="H1" s="13" t="inlineStr">
        <is>
          <t>5번 · 영업부 평균급여</t>
        </is>
      </c>
    </row>
    <row r="2" ht="22" customHeight="1">
      <c r="A2" s="7" t="inlineStr">
        <is>
          <t>A</t>
        </is>
      </c>
      <c r="B2" s="7" t="inlineStr">
        <is>
          <t>영업</t>
        </is>
      </c>
      <c r="C2" s="7" t="n">
        <v>300</v>
      </c>
      <c r="H2" s="14" t="inlineStr">
        <is>
          <t>부서[B2:B5]가 "영업"인 사원 급여[C2:C5]의 평균을 [C6]에 구하시오.</t>
        </is>
      </c>
    </row>
    <row r="3" ht="22" customHeight="1">
      <c r="A3" s="7" t="inlineStr">
        <is>
          <t>B</t>
        </is>
      </c>
      <c r="B3" s="7" t="inlineStr">
        <is>
          <t>기획</t>
        </is>
      </c>
      <c r="C3" s="7" t="n">
        <v>350</v>
      </c>
    </row>
    <row r="4" ht="22" customHeight="1">
      <c r="A4" s="7" t="inlineStr">
        <is>
          <t>C</t>
        </is>
      </c>
      <c r="B4" s="7" t="inlineStr">
        <is>
          <t>영업</t>
        </is>
      </c>
      <c r="C4" s="7" t="n">
        <v>360</v>
      </c>
    </row>
    <row r="5" ht="20" customHeight="1">
      <c r="A5" s="7" t="inlineStr">
        <is>
          <t>D</t>
        </is>
      </c>
      <c r="B5" s="7" t="inlineStr">
        <is>
          <t>영업</t>
        </is>
      </c>
      <c r="C5" s="7" t="n">
        <v>330</v>
      </c>
      <c r="H5" s="15" t="inlineStr">
        <is>
          <t>C6 의 0 을 지우고 수식을 넣습니다.</t>
        </is>
      </c>
    </row>
    <row r="6" ht="24" customHeight="1">
      <c r="A6" s="7" t="inlineStr">
        <is>
          <t>영업 평균</t>
        </is>
      </c>
      <c r="C6" s="18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AVERAGEIF(B2:B5,"영업",C2:C5)</f>
        <v/>
      </c>
      <c r="AB6">
        <f>AND(_xlfn.ISFORMULA(C6),IFERROR(ROUND(C6,4)=ROUND(AA6,4),EXACT(C6,AA6)))</f>
        <v/>
      </c>
    </row>
    <row r="8" ht="18" customHeight="1">
      <c r="H8" s="19" t="inlineStr">
        <is>
          <t>💡 막히면: AVERAGEIF(조건범위, 조건, 평균범위)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0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80점 이상 인원수</t>
        </is>
      </c>
      <c r="C5" s="8" t="inlineStr">
        <is>
          <t>B7</t>
        </is>
      </c>
      <c r="D5" s="21" t="inlineStr">
        <is>
          <t>=COUNTIF(B2:B6,"&gt;=80")</t>
        </is>
      </c>
      <c r="E5" s="22" t="inlineStr">
        <is>
          <t>COUNTIF(범위, "&gt;=80"). 조건은 "따옴표" 안에.</t>
        </is>
      </c>
    </row>
    <row r="6" ht="30" customHeight="1">
      <c r="A6" s="23" t="n">
        <v>2</v>
      </c>
      <c r="B6" s="24" t="inlineStr">
        <is>
          <t>부서별 매출 합계</t>
        </is>
      </c>
      <c r="C6" s="24" t="inlineStr">
        <is>
          <t>C6</t>
        </is>
      </c>
      <c r="D6" s="25" t="inlineStr">
        <is>
          <t>=SUMIF(B2:B5,"영업",C2:C5)</t>
        </is>
      </c>
      <c r="E6" s="26" t="inlineStr">
        <is>
          <t>SUMIF(조건범위, 조건, 합계범위)</t>
        </is>
      </c>
    </row>
    <row r="7" ht="30" customHeight="1">
      <c r="A7" s="7" t="n">
        <v>3</v>
      </c>
      <c r="B7" s="8" t="inlineStr">
        <is>
          <t>합격자 수</t>
        </is>
      </c>
      <c r="C7" s="8" t="inlineStr">
        <is>
          <t>B6</t>
        </is>
      </c>
      <c r="D7" s="21" t="inlineStr">
        <is>
          <t>=COUNTIF(B2:B5,"합격")</t>
        </is>
      </c>
      <c r="E7" s="22" t="inlineStr">
        <is>
          <t>COUNTIF(범위, "합격")</t>
        </is>
      </c>
    </row>
    <row r="8" ht="30" customHeight="1">
      <c r="A8" s="23" t="n">
        <v>4</v>
      </c>
      <c r="B8" s="24" t="inlineStr">
        <is>
          <t>남자 급여 합계</t>
        </is>
      </c>
      <c r="C8" s="24" t="inlineStr">
        <is>
          <t>C6</t>
        </is>
      </c>
      <c r="D8" s="25" t="inlineStr">
        <is>
          <t>=SUMIF(B2:B5,"남",C2:C5)</t>
        </is>
      </c>
      <c r="E8" s="26" t="inlineStr">
        <is>
          <t>SUMIF(조건범위,"남",합계범위)</t>
        </is>
      </c>
    </row>
    <row r="9" ht="30" customHeight="1">
      <c r="A9" s="7" t="n">
        <v>5</v>
      </c>
      <c r="B9" s="8" t="inlineStr">
        <is>
          <t>영업부 평균급여</t>
        </is>
      </c>
      <c r="C9" s="8" t="inlineStr">
        <is>
          <t>C6</t>
        </is>
      </c>
      <c r="D9" s="21" t="inlineStr">
        <is>
          <t>=AVERAGEIF(B2:B5,"영업",C2:C5)</t>
        </is>
      </c>
      <c r="E9" s="22" t="inlineStr">
        <is>
          <t>AVERAGEIF(조건범위, 조건, 평균범위)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2026-09-28T03:23:25Z</dcterms:created>
  <dcterms:modified xmlns:dcterms="http://purl.org/dc/terms/" xmlns:xsi="http://www.w3.org/2001/XMLSchema-instance" xsi:type="dcterms:W3CDTF">2026-09-28T03:23:25Z</dcterms:modified>
</cp:coreProperties>
</file>